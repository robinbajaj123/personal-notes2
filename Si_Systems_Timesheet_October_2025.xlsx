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llstacklabsca-my.sharepoint.com/personal/robin_fullstacklabs_digital/Documents/reactivestax-screenshots/TIMESHEET&amp;INVOICE/mann_bhatt_telesat_sisystems/"/>
    </mc:Choice>
  </mc:AlternateContent>
  <xr:revisionPtr revIDLastSave="82" documentId="8_{10B14204-347A-4D2B-B9E5-55D768FFAA4C}" xr6:coauthVersionLast="47" xr6:coauthVersionMax="47" xr10:uidLastSave="{D0F83F07-642D-3346-A7C7-2F40B5752351}"/>
  <bookViews>
    <workbookView xWindow="67200" yWindow="0" windowWidth="67200" windowHeight="37800" activeTab="3" xr2:uid="{00000000-000D-0000-FFFF-FFFF00000000}"/>
  </bookViews>
  <sheets>
    <sheet name="Month drop down" sheetId="4" state="hidden" r:id="rId1"/>
    <sheet name="Nat Stat Hol" sheetId="6" state="hidden" r:id="rId2"/>
    <sheet name="Dates" sheetId="5" state="hidden" r:id="rId3"/>
    <sheet name="Monthly" sheetId="2" r:id="rId4"/>
    <sheet name="Semi-monthly" sheetId="7" r:id="rId5"/>
    <sheet name="Weekly" sheetId="8" r:id="rId6"/>
    <sheet name="Comments" sheetId="3" r:id="rId7"/>
    <sheet name="Time Dropdown" sheetId="9" state="hidden" r:id="rId8"/>
  </sheets>
  <definedNames>
    <definedName name="_xlnm.Print_Area" localSheetId="6">Comments!$A$1:$B$37</definedName>
    <definedName name="_xlnm.Print_Area" localSheetId="3">Monthly!$B$1:$W$24,Monthly!$C$25:$W$68</definedName>
    <definedName name="_xlnm.Print_Area" localSheetId="4">'Semi-monthly'!$B$1:$W$26,'Semi-monthly'!$A$27:$X$71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F16" i="2"/>
  <c r="G16" i="2"/>
  <c r="H16" i="2"/>
  <c r="I16" i="2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B2" i="4"/>
  <c r="F2" i="4" s="1"/>
  <c r="F1" i="4"/>
  <c r="E1" i="4"/>
  <c r="B3" i="4" l="1"/>
  <c r="B4" i="4" l="1"/>
  <c r="F3" i="4"/>
  <c r="B5" i="4" l="1"/>
  <c r="F4" i="4"/>
  <c r="B6" i="4" l="1"/>
  <c r="F5" i="4"/>
  <c r="F6" i="4" l="1"/>
  <c r="B7" i="4"/>
  <c r="B8" i="4" l="1"/>
  <c r="F7" i="4"/>
  <c r="B9" i="4" l="1"/>
  <c r="F8" i="4"/>
  <c r="F9" i="4" l="1"/>
  <c r="B10" i="4"/>
  <c r="F10" i="4" l="1"/>
  <c r="B11" i="4"/>
  <c r="B12" i="4" l="1"/>
  <c r="F11" i="4"/>
  <c r="B13" i="4" l="1"/>
  <c r="F12" i="4"/>
  <c r="B14" i="4" l="1"/>
  <c r="F13" i="4"/>
  <c r="F14" i="4" l="1"/>
  <c r="B15" i="4"/>
  <c r="B16" i="4" l="1"/>
  <c r="F15" i="4"/>
  <c r="B17" i="4" l="1"/>
  <c r="F16" i="4"/>
  <c r="B18" i="4" l="1"/>
  <c r="F17" i="4"/>
  <c r="F18" i="4" l="1"/>
  <c r="B19" i="4"/>
  <c r="B20" i="4" l="1"/>
  <c r="F19" i="4"/>
  <c r="B21" i="4" l="1"/>
  <c r="F20" i="4"/>
  <c r="B22" i="4" l="1"/>
  <c r="F21" i="4"/>
  <c r="F22" i="4" l="1"/>
  <c r="B23" i="4"/>
  <c r="B24" i="4" l="1"/>
  <c r="F23" i="4"/>
  <c r="B25" i="4" l="1"/>
  <c r="F24" i="4"/>
  <c r="F25" i="4" l="1"/>
  <c r="B26" i="4"/>
  <c r="B27" i="4" l="1"/>
  <c r="F26" i="4"/>
  <c r="F27" i="4" l="1"/>
  <c r="B28" i="4"/>
  <c r="B29" i="4" l="1"/>
  <c r="F28" i="4"/>
  <c r="F29" i="4" l="1"/>
  <c r="B30" i="4"/>
  <c r="B31" i="4" l="1"/>
  <c r="F30" i="4"/>
  <c r="F31" i="4" l="1"/>
  <c r="B32" i="4"/>
  <c r="B33" i="4" l="1"/>
  <c r="F32" i="4"/>
  <c r="F33" i="4" l="1"/>
  <c r="B34" i="4"/>
  <c r="B35" i="4" l="1"/>
  <c r="F34" i="4"/>
  <c r="F35" i="4" l="1"/>
  <c r="B36" i="4"/>
  <c r="B37" i="4" l="1"/>
  <c r="F36" i="4"/>
  <c r="F37" i="4" l="1"/>
  <c r="B38" i="4"/>
  <c r="B39" i="4" l="1"/>
  <c r="F38" i="4"/>
  <c r="F39" i="4" l="1"/>
  <c r="B40" i="4"/>
  <c r="B41" i="4" l="1"/>
  <c r="F40" i="4"/>
  <c r="F41" i="4" l="1"/>
  <c r="B42" i="4"/>
  <c r="B43" i="4" l="1"/>
  <c r="F42" i="4"/>
  <c r="F43" i="4" l="1"/>
  <c r="B44" i="4"/>
  <c r="B45" i="4" l="1"/>
  <c r="F44" i="4"/>
  <c r="F45" i="4" l="1"/>
  <c r="B46" i="4"/>
  <c r="B47" i="4" l="1"/>
  <c r="F46" i="4"/>
  <c r="F47" i="4" l="1"/>
  <c r="B48" i="4"/>
  <c r="B49" i="4" l="1"/>
  <c r="F48" i="4"/>
  <c r="F49" i="4" l="1"/>
  <c r="B50" i="4"/>
  <c r="B51" i="4" l="1"/>
  <c r="F50" i="4"/>
  <c r="B52" i="4" l="1"/>
  <c r="F51" i="4"/>
  <c r="B53" i="4" l="1"/>
  <c r="F53" i="4" s="1"/>
  <c r="F52" i="4"/>
  <c r="K8" i="7"/>
  <c r="K8" i="2"/>
  <c r="K24" i="7"/>
  <c r="J16" i="7"/>
  <c r="L23" i="2"/>
  <c r="L16" i="2"/>
  <c r="M16" i="2"/>
  <c r="T24" i="7" l="1"/>
  <c r="S24" i="7"/>
  <c r="R24" i="7"/>
  <c r="Q24" i="7"/>
  <c r="P24" i="7"/>
  <c r="O24" i="7"/>
  <c r="N24" i="7"/>
  <c r="M24" i="7"/>
  <c r="L24" i="7"/>
  <c r="J24" i="7"/>
  <c r="I24" i="7"/>
  <c r="H24" i="7"/>
  <c r="G24" i="7"/>
  <c r="F24" i="7"/>
  <c r="E24" i="7"/>
  <c r="S16" i="7"/>
  <c r="R16" i="7"/>
  <c r="Q16" i="7"/>
  <c r="P16" i="7"/>
  <c r="O16" i="7"/>
  <c r="N16" i="7"/>
  <c r="M16" i="7"/>
  <c r="L16" i="7"/>
  <c r="K16" i="7"/>
  <c r="I16" i="7"/>
  <c r="H16" i="7"/>
  <c r="G16" i="7"/>
  <c r="F16" i="7"/>
  <c r="E16" i="7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J16" i="2"/>
  <c r="K16" i="2"/>
  <c r="N16" i="2"/>
  <c r="O16" i="2"/>
  <c r="P16" i="2"/>
  <c r="Q16" i="2"/>
  <c r="R16" i="2"/>
  <c r="S16" i="2"/>
  <c r="V23" i="2" l="1"/>
  <c r="V16" i="2" l="1"/>
  <c r="V24" i="7"/>
  <c r="V16" i="7"/>
  <c r="E11" i="7"/>
  <c r="F11" i="7" s="1"/>
  <c r="G11" i="7" s="1"/>
  <c r="H11" i="7" s="1"/>
  <c r="I11" i="7" s="1"/>
  <c r="J11" i="7" s="1"/>
  <c r="K11" i="7" s="1"/>
  <c r="L11" i="7" s="1"/>
  <c r="M11" i="7" s="1"/>
  <c r="N11" i="7" s="1"/>
  <c r="O11" i="7" s="1"/>
  <c r="P11" i="7" s="1"/>
  <c r="Q11" i="7" s="1"/>
  <c r="R11" i="7" s="1"/>
  <c r="S11" i="7" s="1"/>
  <c r="E19" i="7" s="1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V28" i="8"/>
  <c r="K17" i="8"/>
  <c r="J17" i="8"/>
  <c r="I17" i="8"/>
  <c r="H17" i="8"/>
  <c r="G17" i="8"/>
  <c r="F17" i="8"/>
  <c r="E17" i="8"/>
  <c r="V16" i="8"/>
  <c r="V15" i="8"/>
  <c r="V17" i="8" s="1"/>
  <c r="V22" i="8" s="1"/>
  <c r="V14" i="8"/>
  <c r="V13" i="8"/>
  <c r="V12" i="8"/>
  <c r="F11" i="8"/>
  <c r="G11" i="8" s="1"/>
  <c r="H11" i="8" s="1"/>
  <c r="I11" i="8" s="1"/>
  <c r="J11" i="8" s="1"/>
  <c r="K11" i="8" s="1"/>
  <c r="V26" i="7" l="1"/>
  <c r="V69" i="7" s="1"/>
  <c r="B2" i="5" l="1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C319" i="5" l="1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E11" i="2" l="1"/>
  <c r="C1" i="5" l="1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A1" i="5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C19" i="2" l="1"/>
  <c r="F11" i="2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C22" i="2"/>
  <c r="V25" i="2" l="1"/>
  <c r="V67" i="2" s="1"/>
  <c r="B6" i="3" l="1"/>
</calcChain>
</file>

<file path=xl/sharedStrings.xml><?xml version="1.0" encoding="utf-8"?>
<sst xmlns="http://schemas.openxmlformats.org/spreadsheetml/2006/main" count="197" uniqueCount="106">
  <si>
    <t>January</t>
  </si>
  <si>
    <t>1-15</t>
  </si>
  <si>
    <t>February</t>
  </si>
  <si>
    <t>16-31</t>
  </si>
  <si>
    <t>March</t>
  </si>
  <si>
    <t>16-30</t>
  </si>
  <si>
    <t>April</t>
  </si>
  <si>
    <t>16-28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</si>
  <si>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</si>
  <si>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</si>
  <si>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</si>
  <si>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</si>
  <si>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</si>
  <si>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</si>
  <si>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</si>
  <si>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</si>
  <si>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New Years Day</t>
  </si>
  <si>
    <t>Family Day (Not observed in NFL, Nu, QC, YK)</t>
  </si>
  <si>
    <t>Good Friday</t>
  </si>
  <si>
    <t>Victoria Day (Not observed in NS, PEI)</t>
  </si>
  <si>
    <t>Canada Day</t>
  </si>
  <si>
    <t>Civic Holiday (BC, NB, Nu, NWT, SK)</t>
  </si>
  <si>
    <t>Labour Day</t>
  </si>
  <si>
    <t>Truth and Reconciliation Day (BC, NFL, NWT, PEI, YK)</t>
  </si>
  <si>
    <t>Thanksgiving (Not observed in NS, PEI)</t>
  </si>
  <si>
    <t>Remembrance Day (AB, BC, NB, NFL, Nu, NWT, PEI, SK, YK)</t>
  </si>
  <si>
    <t>Christmas Day</t>
  </si>
  <si>
    <t>Boxing Day (NB, NFL, ON)</t>
  </si>
  <si>
    <t>Thursday</t>
  </si>
  <si>
    <t>Consultant Pay Group</t>
  </si>
  <si>
    <t>CPG@sisystems.com</t>
  </si>
  <si>
    <t>Client Company</t>
  </si>
  <si>
    <t>Month Of:</t>
  </si>
  <si>
    <t>Contractor Name</t>
  </si>
  <si>
    <t>S.i. Contract Number</t>
  </si>
  <si>
    <t>Project Description</t>
  </si>
  <si>
    <t>Subtotal Hours</t>
  </si>
  <si>
    <t>Daily Hours Total</t>
  </si>
  <si>
    <t>Client Approval</t>
  </si>
  <si>
    <t>Name of Client</t>
  </si>
  <si>
    <t>Additional comments:</t>
  </si>
  <si>
    <t>Total hours this timesheet</t>
  </si>
  <si>
    <t>Date</t>
  </si>
  <si>
    <t>Signature</t>
  </si>
  <si>
    <t>By approving this timesheet you acknowledge satisfactory delivery of services and authorization to pay S.i. Systems for submitted total hours.</t>
  </si>
  <si>
    <t>Days worked (if required)</t>
  </si>
  <si>
    <t>hrs per diem</t>
  </si>
  <si>
    <t>Total</t>
  </si>
  <si>
    <t>days</t>
  </si>
  <si>
    <t>CPG@sisystemsrecruitment.com</t>
  </si>
  <si>
    <t>Week ending:</t>
  </si>
  <si>
    <t xml:space="preserve">PO Number </t>
  </si>
  <si>
    <t>Total hrs this timesheet</t>
  </si>
  <si>
    <t>Day of Month</t>
  </si>
  <si>
    <t>SUMMARY OF ACTIVITIES</t>
  </si>
  <si>
    <t>Description of Activities</t>
  </si>
  <si>
    <t>Start Time:</t>
  </si>
  <si>
    <t>End Time:</t>
  </si>
  <si>
    <t>Date:</t>
  </si>
  <si>
    <t>Total Hours</t>
  </si>
  <si>
    <t>Contractor:</t>
  </si>
  <si>
    <t>S.i. Contract #</t>
  </si>
  <si>
    <t>Client Name:</t>
  </si>
  <si>
    <t>Date:                 Example</t>
  </si>
  <si>
    <t xml:space="preserve">   8:30 AM</t>
  </si>
  <si>
    <t xml:space="preserve">      Example</t>
  </si>
  <si>
    <t>Jan 2025</t>
  </si>
  <si>
    <t>Feb 2025</t>
  </si>
  <si>
    <t>Apr 2025</t>
  </si>
  <si>
    <t>May 2025</t>
  </si>
  <si>
    <t>June 2025</t>
  </si>
  <si>
    <t>June Holiday/St. Jean Baptiste (NFL, QC)</t>
  </si>
  <si>
    <t>July 2025</t>
  </si>
  <si>
    <t>Aug 2025</t>
  </si>
  <si>
    <t>Sept 2025</t>
  </si>
  <si>
    <t>Oct 2025</t>
  </si>
  <si>
    <t>Nov 2025</t>
  </si>
  <si>
    <t>Dec 2025</t>
  </si>
  <si>
    <t>January 1-15 2025</t>
  </si>
  <si>
    <t>January 16-31 2025</t>
  </si>
  <si>
    <t>February 1-15 2025</t>
  </si>
  <si>
    <t>February 16-29 2025</t>
  </si>
  <si>
    <t>March 1-15 2025</t>
  </si>
  <si>
    <t>March 16-31 2025</t>
  </si>
  <si>
    <t>April 1-15 2025</t>
  </si>
  <si>
    <t>April 16-30 2025</t>
  </si>
  <si>
    <t>May 1-15 2025</t>
  </si>
  <si>
    <t>May 16-31 2025</t>
  </si>
  <si>
    <t>June 1-15 2025</t>
  </si>
  <si>
    <t>June 16-30 2025</t>
  </si>
  <si>
    <t>July 1-15 2025</t>
  </si>
  <si>
    <t>July 16-31 2025</t>
  </si>
  <si>
    <t>August 1-15 2025</t>
  </si>
  <si>
    <t>August 16-31 2025</t>
  </si>
  <si>
    <t>September 1-15 2025</t>
  </si>
  <si>
    <t>September 16-30 2025</t>
  </si>
  <si>
    <t>October 1-15 2025</t>
  </si>
  <si>
    <t>October 16-31 2025</t>
  </si>
  <si>
    <t>November 1-15 2025</t>
  </si>
  <si>
    <t>November 16-30 2025</t>
  </si>
  <si>
    <t>December 1-15 2025</t>
  </si>
  <si>
    <t>December 16-31 2025</t>
  </si>
  <si>
    <t>Easter Monday</t>
  </si>
  <si>
    <t>Telesat Canada</t>
  </si>
  <si>
    <t>Robin Bajaj</t>
  </si>
  <si>
    <t>worked on telesat billing-data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</si>
</sst>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d"/>
    <numFmt numFmtId="166" formatCode="mmmm\ yyyy"/>
    <numFmt numFmtId="167" formatCode="dddd\ mmmm\ dd\ yyyy\ "/>
    <numFmt numFmtId="168" formatCode="[$-1009]mmmm\ d\,\ yyyy;@"/>
    <numFmt numFmtId="169" formatCode="[$-F800]dddd\,\ mmmm\ dd\,\ yyyy"/>
  </numFmts>
  <fonts count="2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4"/>
      <name val="Calibri Light"/>
      <family val="2"/>
    </font>
    <font>
      <b/>
      <sz val="15"/>
      <name val="Calibri Light"/>
      <family val="2"/>
    </font>
    <font>
      <sz val="15"/>
      <name val="Calibri Light"/>
      <family val="2"/>
    </font>
    <font>
      <i/>
      <sz val="15"/>
      <name val="Calibri Light"/>
      <family val="2"/>
    </font>
    <font>
      <sz val="15"/>
      <color rgb="FFFF0000"/>
      <name val="Calibri Light"/>
      <family val="2"/>
    </font>
    <font>
      <sz val="18"/>
      <name val="Calibri Light"/>
      <family val="2"/>
    </font>
    <font>
      <b/>
      <sz val="12"/>
      <name val="Calibri Light"/>
      <family val="2"/>
    </font>
    <font>
      <b/>
      <sz val="20"/>
      <name val="Calibri Light"/>
      <family val="2"/>
    </font>
    <font>
      <b/>
      <sz val="13"/>
      <name val="Calibri Light"/>
      <family val="2"/>
    </font>
    <font>
      <sz val="13"/>
      <name val="Calibri Light"/>
      <family val="2"/>
    </font>
    <font>
      <b/>
      <sz val="18"/>
      <name val="Calibri Light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 Light"/>
      <family val="2"/>
    </font>
    <font>
      <sz val="11"/>
      <name val="Arial"/>
      <family val="2"/>
    </font>
    <font>
      <b/>
      <sz val="14"/>
      <name val="Calibri"/>
      <family val="2"/>
      <scheme val="minor"/>
    </font>
    <font>
      <sz val="14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5">
    <xf numFmtId="0" fontId="0" fillId="0" borderId="0" xfId="0"/>
    <xf numFmtId="17" fontId="0" fillId="0" borderId="0" xfId="0" applyNumberFormat="1"/>
    <xf numFmtId="14" fontId="0" fillId="0" borderId="0" xfId="0" applyNumberFormat="1"/>
    <xf numFmtId="0" fontId="2" fillId="0" borderId="0" xfId="0" applyFont="1"/>
    <xf numFmtId="16" fontId="0" fillId="0" borderId="0" xfId="0" quotePrefix="1" applyNumberFormat="1"/>
    <xf numFmtId="0" fontId="0" fillId="0" borderId="0" xfId="0" quotePrefix="1"/>
    <xf numFmtId="16" fontId="0" fillId="0" borderId="0" xfId="0" applyNumberForma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5" fillId="0" borderId="5" xfId="0" applyFont="1" applyBorder="1"/>
    <xf numFmtId="0" fontId="5" fillId="0" borderId="1" xfId="0" applyFont="1" applyBorder="1"/>
    <xf numFmtId="0" fontId="4" fillId="0" borderId="0" xfId="0" applyFont="1" applyAlignment="1">
      <alignment horizontal="lef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2" fontId="5" fillId="0" borderId="19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2" fontId="5" fillId="0" borderId="20" xfId="0" applyNumberFormat="1" applyFont="1" applyBorder="1" applyAlignment="1">
      <alignment vertical="center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2" fontId="5" fillId="0" borderId="21" xfId="0" applyNumberFormat="1" applyFont="1" applyBorder="1" applyAlignment="1">
      <alignment vertical="center"/>
    </xf>
    <xf numFmtId="2" fontId="4" fillId="0" borderId="29" xfId="0" applyNumberFormat="1" applyFont="1" applyBorder="1" applyAlignment="1">
      <alignment horizontal="center" vertical="center"/>
    </xf>
    <xf numFmtId="0" fontId="5" fillId="0" borderId="30" xfId="0" applyFont="1" applyBorder="1"/>
    <xf numFmtId="2" fontId="4" fillId="0" borderId="22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35" xfId="0" applyFont="1" applyBorder="1"/>
    <xf numFmtId="0" fontId="5" fillId="0" borderId="36" xfId="0" applyFont="1" applyBorder="1"/>
    <xf numFmtId="0" fontId="4" fillId="0" borderId="0" xfId="0" applyFont="1" applyAlignment="1">
      <alignment horizontal="left" wrapText="1"/>
    </xf>
    <xf numFmtId="0" fontId="5" fillId="0" borderId="39" xfId="0" applyFont="1" applyBorder="1" applyAlignment="1">
      <alignment horizontal="left"/>
    </xf>
    <xf numFmtId="0" fontId="5" fillId="0" borderId="40" xfId="0" applyFont="1" applyBorder="1"/>
    <xf numFmtId="164" fontId="4" fillId="0" borderId="0" xfId="0" applyNumberFormat="1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2" fontId="5" fillId="0" borderId="16" xfId="0" applyNumberFormat="1" applyFont="1" applyBorder="1" applyAlignment="1" applyProtection="1">
      <alignment vertical="center"/>
      <protection locked="0"/>
    </xf>
    <xf numFmtId="2" fontId="4" fillId="0" borderId="16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7" fillId="0" borderId="0" xfId="0" applyFont="1"/>
    <xf numFmtId="2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wrapText="1"/>
    </xf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3" fillId="0" borderId="0" xfId="0" applyFont="1" applyAlignment="1">
      <alignment horizontal="right"/>
    </xf>
    <xf numFmtId="0" fontId="2" fillId="0" borderId="0" xfId="0" quotePrefix="1" applyFont="1"/>
    <xf numFmtId="0" fontId="5" fillId="4" borderId="13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4" borderId="16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Alignment="1" applyProtection="1">
      <alignment horizontal="center" vertical="center"/>
      <protection locked="0"/>
    </xf>
    <xf numFmtId="2" fontId="4" fillId="4" borderId="29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8" fontId="2" fillId="0" borderId="0" xfId="0" applyNumberFormat="1" applyFont="1"/>
    <xf numFmtId="169" fontId="0" fillId="0" borderId="0" xfId="0" applyNumberFormat="1"/>
    <xf numFmtId="0" fontId="5" fillId="0" borderId="15" xfId="0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center"/>
      <protection locked="0"/>
    </xf>
    <xf numFmtId="2" fontId="5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5" fillId="0" borderId="0" xfId="0" applyFont="1" applyAlignment="1" applyProtection="1">
      <alignment horizontal="left" vertical="top"/>
      <protection locked="0"/>
    </xf>
    <xf numFmtId="0" fontId="5" fillId="0" borderId="49" xfId="0" applyFont="1" applyBorder="1"/>
    <xf numFmtId="0" fontId="5" fillId="0" borderId="39" xfId="0" applyFont="1" applyBorder="1"/>
    <xf numFmtId="0" fontId="5" fillId="0" borderId="39" xfId="0" applyFont="1" applyBorder="1" applyAlignment="1">
      <alignment horizontal="center"/>
    </xf>
    <xf numFmtId="0" fontId="5" fillId="0" borderId="50" xfId="0" applyFont="1" applyBorder="1" applyAlignment="1">
      <alignment horizontal="right"/>
    </xf>
    <xf numFmtId="0" fontId="5" fillId="0" borderId="50" xfId="0" applyFont="1" applyBorder="1"/>
    <xf numFmtId="0" fontId="4" fillId="0" borderId="50" xfId="0" applyFont="1" applyBorder="1" applyAlignment="1">
      <alignment horizontal="center"/>
    </xf>
    <xf numFmtId="0" fontId="4" fillId="0" borderId="50" xfId="0" applyFont="1" applyBorder="1" applyAlignment="1">
      <alignment horizontal="left"/>
    </xf>
    <xf numFmtId="0" fontId="5" fillId="0" borderId="30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51" xfId="0" applyFont="1" applyBorder="1"/>
    <xf numFmtId="0" fontId="7" fillId="0" borderId="37" xfId="0" applyFont="1" applyBorder="1"/>
    <xf numFmtId="0" fontId="5" fillId="0" borderId="37" xfId="0" applyFont="1" applyBorder="1"/>
    <xf numFmtId="0" fontId="5" fillId="0" borderId="52" xfId="0" applyFont="1" applyBorder="1"/>
    <xf numFmtId="2" fontId="4" fillId="0" borderId="48" xfId="0" applyNumberFormat="1" applyFont="1" applyBorder="1" applyAlignment="1">
      <alignment vertical="center"/>
    </xf>
    <xf numFmtId="0" fontId="9" fillId="0" borderId="0" xfId="0" applyFont="1" applyAlignment="1">
      <alignment horizontal="left"/>
    </xf>
    <xf numFmtId="0" fontId="4" fillId="0" borderId="0" xfId="0" applyFont="1" applyAlignment="1">
      <alignment vertical="center" wrapText="1"/>
    </xf>
    <xf numFmtId="0" fontId="4" fillId="0" borderId="50" xfId="0" applyFont="1" applyBorder="1" applyAlignment="1">
      <alignment vertical="center"/>
    </xf>
    <xf numFmtId="0" fontId="18" fillId="0" borderId="0" xfId="0" applyFont="1"/>
    <xf numFmtId="0" fontId="5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7" fillId="0" borderId="0" xfId="0" applyFont="1" applyAlignment="1">
      <alignment horizontal="center"/>
    </xf>
    <xf numFmtId="0" fontId="20" fillId="0" borderId="48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35" xfId="0" applyFont="1" applyBorder="1"/>
    <xf numFmtId="2" fontId="5" fillId="0" borderId="48" xfId="0" applyNumberFormat="1" applyFont="1" applyBorder="1" applyAlignment="1" applyProtection="1">
      <alignment vertical="center"/>
      <protection locked="0"/>
    </xf>
    <xf numFmtId="0" fontId="5" fillId="0" borderId="39" xfId="0" applyFont="1" applyBorder="1" applyAlignment="1">
      <alignment horizontal="right"/>
    </xf>
    <xf numFmtId="0" fontId="5" fillId="0" borderId="45" xfId="0" applyFont="1" applyBorder="1"/>
    <xf numFmtId="0" fontId="5" fillId="0" borderId="50" xfId="0" applyFont="1" applyBorder="1" applyAlignment="1">
      <alignment vertical="center"/>
    </xf>
    <xf numFmtId="0" fontId="5" fillId="0" borderId="59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left" vertical="center"/>
      <protection locked="0"/>
    </xf>
    <xf numFmtId="0" fontId="5" fillId="0" borderId="59" xfId="0" applyFont="1" applyBorder="1" applyAlignment="1" applyProtection="1">
      <alignment horizontal="left" vertical="center"/>
      <protection locked="0"/>
    </xf>
    <xf numFmtId="2" fontId="3" fillId="0" borderId="38" xfId="0" applyNumberFormat="1" applyFont="1" applyBorder="1" applyAlignment="1">
      <alignment horizontal="center" vertical="center"/>
    </xf>
    <xf numFmtId="0" fontId="5" fillId="0" borderId="17" xfId="0" applyFont="1" applyBorder="1" applyAlignment="1" applyProtection="1">
      <alignment horizontal="left" vertical="center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5" fillId="0" borderId="62" xfId="0" applyFont="1" applyBorder="1" applyAlignment="1" applyProtection="1">
      <alignment horizontal="left" vertical="center"/>
      <protection locked="0"/>
    </xf>
    <xf numFmtId="18" fontId="5" fillId="0" borderId="41" xfId="0" applyNumberFormat="1" applyFont="1" applyBorder="1" applyAlignment="1" applyProtection="1">
      <alignment horizontal="center" vertical="center"/>
      <protection locked="0"/>
    </xf>
    <xf numFmtId="18" fontId="5" fillId="0" borderId="13" xfId="0" applyNumberFormat="1" applyFont="1" applyBorder="1" applyAlignment="1" applyProtection="1">
      <alignment horizontal="center" vertical="center"/>
      <protection locked="0"/>
    </xf>
    <xf numFmtId="18" fontId="5" fillId="0" borderId="14" xfId="0" applyNumberFormat="1" applyFont="1" applyBorder="1" applyAlignment="1" applyProtection="1">
      <alignment horizontal="center" vertical="center"/>
      <protection locked="0"/>
    </xf>
    <xf numFmtId="18" fontId="5" fillId="0" borderId="11" xfId="0" applyNumberFormat="1" applyFont="1" applyBorder="1" applyAlignment="1" applyProtection="1">
      <alignment horizontal="center" vertical="center"/>
      <protection locked="0"/>
    </xf>
    <xf numFmtId="18" fontId="5" fillId="0" borderId="54" xfId="0" applyNumberFormat="1" applyFont="1" applyBorder="1" applyAlignment="1" applyProtection="1">
      <alignment horizontal="center" vertical="center"/>
      <protection locked="0"/>
    </xf>
    <xf numFmtId="18" fontId="5" fillId="0" borderId="55" xfId="0" applyNumberFormat="1" applyFont="1" applyBorder="1" applyAlignment="1" applyProtection="1">
      <alignment horizontal="center" vertical="center"/>
      <protection locked="0"/>
    </xf>
    <xf numFmtId="18" fontId="5" fillId="0" borderId="60" xfId="0" applyNumberFormat="1" applyFont="1" applyBorder="1" applyAlignment="1" applyProtection="1">
      <alignment horizontal="center" vertical="center"/>
      <protection locked="0"/>
    </xf>
    <xf numFmtId="18" fontId="5" fillId="0" borderId="32" xfId="0" applyNumberFormat="1" applyFont="1" applyBorder="1" applyAlignment="1" applyProtection="1">
      <alignment horizontal="center" vertical="center"/>
      <protection locked="0"/>
    </xf>
    <xf numFmtId="18" fontId="5" fillId="0" borderId="33" xfId="0" applyNumberFormat="1" applyFont="1" applyBorder="1" applyAlignment="1" applyProtection="1">
      <alignment horizontal="center" vertical="center"/>
      <protection locked="0"/>
    </xf>
    <xf numFmtId="18" fontId="0" fillId="0" borderId="0" xfId="0" applyNumberFormat="1"/>
    <xf numFmtId="18" fontId="2" fillId="0" borderId="0" xfId="0" applyNumberFormat="1" applyFont="1"/>
    <xf numFmtId="18" fontId="5" fillId="5" borderId="16" xfId="0" applyNumberFormat="1" applyFont="1" applyFill="1" applyBorder="1" applyAlignment="1" applyProtection="1">
      <alignment horizontal="center" vertical="center"/>
      <protection locked="0"/>
    </xf>
    <xf numFmtId="18" fontId="5" fillId="5" borderId="56" xfId="0" applyNumberFormat="1" applyFont="1" applyFill="1" applyBorder="1" applyAlignment="1" applyProtection="1">
      <alignment horizontal="center" vertical="center"/>
      <protection locked="0"/>
    </xf>
    <xf numFmtId="0" fontId="4" fillId="5" borderId="43" xfId="0" applyFont="1" applyFill="1" applyBorder="1" applyAlignment="1">
      <alignment horizontal="center" vertical="center"/>
    </xf>
    <xf numFmtId="0" fontId="5" fillId="5" borderId="13" xfId="0" applyFont="1" applyFill="1" applyBorder="1" applyAlignment="1" applyProtection="1">
      <alignment horizontal="left" vertical="center"/>
      <protection locked="0"/>
    </xf>
    <xf numFmtId="18" fontId="5" fillId="5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wrapText="1"/>
    </xf>
    <xf numFmtId="0" fontId="19" fillId="0" borderId="16" xfId="0" applyFont="1" applyBorder="1" applyAlignment="1">
      <alignment wrapText="1"/>
    </xf>
    <xf numFmtId="0" fontId="22" fillId="0" borderId="16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7" fillId="0" borderId="6" xfId="0" applyFont="1" applyBorder="1" applyAlignment="1">
      <alignment wrapText="1"/>
    </xf>
    <xf numFmtId="0" fontId="17" fillId="0" borderId="7" xfId="0" applyFont="1" applyBorder="1" applyAlignment="1">
      <alignment wrapText="1"/>
    </xf>
    <xf numFmtId="0" fontId="17" fillId="0" borderId="47" xfId="0" applyFont="1" applyBorder="1" applyAlignment="1">
      <alignment wrapText="1"/>
    </xf>
    <xf numFmtId="0" fontId="17" fillId="0" borderId="9" xfId="0" applyFont="1" applyBorder="1" applyAlignment="1">
      <alignment wrapText="1"/>
    </xf>
    <xf numFmtId="0" fontId="17" fillId="0" borderId="10" xfId="0" applyFont="1" applyBorder="1" applyAlignment="1">
      <alignment wrapText="1"/>
    </xf>
    <xf numFmtId="0" fontId="17" fillId="0" borderId="46" xfId="0" applyFont="1" applyBorder="1" applyAlignment="1">
      <alignment wrapText="1"/>
    </xf>
    <xf numFmtId="0" fontId="15" fillId="0" borderId="2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4" fillId="0" borderId="39" xfId="0" applyFont="1" applyBorder="1" applyAlignment="1">
      <alignment horizontal="right"/>
    </xf>
    <xf numFmtId="0" fontId="4" fillId="0" borderId="45" xfId="0" applyFont="1" applyBorder="1" applyAlignment="1">
      <alignment horizontal="right"/>
    </xf>
    <xf numFmtId="0" fontId="5" fillId="0" borderId="0" xfId="0" applyFont="1" applyAlignment="1">
      <alignment horizontal="center"/>
    </xf>
    <xf numFmtId="166" fontId="13" fillId="0" borderId="37" xfId="0" applyNumberFormat="1" applyFont="1" applyBorder="1" applyAlignment="1" applyProtection="1">
      <alignment horizontal="left"/>
      <protection locked="0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5" fillId="0" borderId="50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4" fillId="0" borderId="28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5" fillId="0" borderId="37" xfId="0" applyFont="1" applyBorder="1" applyAlignment="1" applyProtection="1">
      <alignment horizontal="left"/>
      <protection locked="0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wrapText="1"/>
    </xf>
    <xf numFmtId="0" fontId="17" fillId="0" borderId="39" xfId="0" applyFont="1" applyBorder="1" applyAlignment="1">
      <alignment wrapText="1"/>
    </xf>
    <xf numFmtId="0" fontId="17" fillId="0" borderId="45" xfId="0" applyFont="1" applyBorder="1" applyAlignment="1">
      <alignment wrapText="1"/>
    </xf>
    <xf numFmtId="0" fontId="22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 applyProtection="1">
      <alignment horizontal="left" vertical="top"/>
      <protection locked="0"/>
    </xf>
    <xf numFmtId="0" fontId="5" fillId="0" borderId="7" xfId="0" applyFont="1" applyBorder="1" applyAlignment="1" applyProtection="1">
      <alignment horizontal="left" vertical="top"/>
      <protection locked="0"/>
    </xf>
    <xf numFmtId="0" fontId="5" fillId="0" borderId="8" xfId="0" applyFont="1" applyBorder="1" applyAlignment="1" applyProtection="1">
      <alignment horizontal="left" vertical="top"/>
      <protection locked="0"/>
    </xf>
    <xf numFmtId="0" fontId="5" fillId="0" borderId="35" xfId="0" applyFont="1" applyBorder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5" fillId="0" borderId="36" xfId="0" applyFont="1" applyBorder="1" applyAlignment="1" applyProtection="1">
      <alignment horizontal="left" vertical="top"/>
      <protection locked="0"/>
    </xf>
    <xf numFmtId="0" fontId="5" fillId="0" borderId="9" xfId="0" applyFont="1" applyBorder="1" applyAlignment="1" applyProtection="1">
      <alignment horizontal="left" vertical="top"/>
      <protection locked="0"/>
    </xf>
    <xf numFmtId="0" fontId="5" fillId="0" borderId="10" xfId="0" applyFont="1" applyBorder="1" applyAlignment="1" applyProtection="1">
      <alignment horizontal="left" vertical="top"/>
      <protection locked="0"/>
    </xf>
    <xf numFmtId="0" fontId="5" fillId="0" borderId="38" xfId="0" applyFont="1" applyBorder="1" applyAlignment="1" applyProtection="1">
      <alignment horizontal="left"/>
      <protection locked="0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166" fontId="8" fillId="0" borderId="37" xfId="0" applyNumberFormat="1" applyFont="1" applyBorder="1" applyAlignment="1" applyProtection="1">
      <alignment horizontal="left"/>
      <protection locked="0"/>
    </xf>
    <xf numFmtId="0" fontId="4" fillId="0" borderId="2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5" fillId="0" borderId="15" xfId="0" applyFont="1" applyBorder="1" applyAlignment="1" applyProtection="1">
      <alignment horizontal="left" vertical="center"/>
      <protection locked="0"/>
    </xf>
    <xf numFmtId="0" fontId="5" fillId="0" borderId="26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167" fontId="8" fillId="0" borderId="37" xfId="0" applyNumberFormat="1" applyFont="1" applyBorder="1" applyAlignment="1" applyProtection="1">
      <alignment horizontal="left"/>
      <protection locked="0"/>
    </xf>
    <xf numFmtId="0" fontId="5" fillId="0" borderId="0" xfId="0" applyFont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37" xfId="0" applyFont="1" applyBorder="1" applyAlignment="1">
      <alignment horizontal="center"/>
    </xf>
    <xf numFmtId="0" fontId="5" fillId="0" borderId="12" xfId="0" applyFont="1" applyBorder="1" applyAlignment="1" applyProtection="1">
      <alignment horizontal="left" vertical="center"/>
      <protection locked="0"/>
    </xf>
    <xf numFmtId="0" fontId="5" fillId="0" borderId="27" xfId="0" applyFont="1" applyBorder="1" applyAlignment="1" applyProtection="1">
      <alignment horizontal="left" vertical="center"/>
      <protection locked="0"/>
    </xf>
    <xf numFmtId="0" fontId="4" fillId="0" borderId="17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28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11" xfId="0" applyFont="1" applyBorder="1" applyAlignment="1" applyProtection="1">
      <alignment horizontal="left" vertical="top"/>
      <protection locked="0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34"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  <border>
        <vertical/>
        <horizontal/>
      </border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89806</xdr:colOff>
      <xdr:row>1</xdr:row>
      <xdr:rowOff>20411</xdr:rowOff>
    </xdr:from>
    <xdr:to>
      <xdr:col>3</xdr:col>
      <xdr:colOff>164248</xdr:colOff>
      <xdr:row>6</xdr:row>
      <xdr:rowOff>13607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D2BD7A-D9F2-446D-BAC7-F7ED1DC5A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877" y="278947"/>
          <a:ext cx="1421550" cy="12178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13608</xdr:colOff>
      <xdr:row>1</xdr:row>
      <xdr:rowOff>54430</xdr:rowOff>
    </xdr:from>
    <xdr:to>
      <xdr:col>2</xdr:col>
      <xdr:colOff>1306285</xdr:colOff>
      <xdr:row>6</xdr:row>
      <xdr:rowOff>102113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123A7E-7E06-42E9-A764-8F6F8C819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44" y="312966"/>
          <a:ext cx="1292677" cy="12723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76200</xdr:rowOff>
    </xdr:from>
    <xdr:to>
      <xdr:col>2</xdr:col>
      <xdr:colOff>76200</xdr:colOff>
      <xdr:row>4</xdr:row>
      <xdr:rowOff>235781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5534B-83D8-4825-8D60-7630B4DCC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" y="76200"/>
          <a:ext cx="1117147" cy="1067631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285750</xdr:colOff>
      <xdr:row>5</xdr:row>
      <xdr:rowOff>114300</xdr:rowOff>
    </xdr:from>
    <xdr:to>
      <xdr:col>22</xdr:col>
      <xdr:colOff>136072</xdr:colOff>
      <xdr:row>9</xdr:row>
      <xdr:rowOff>105606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DF7BD0-FC7B-4780-A6E9-1437B69D1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9875" y="1362075"/>
          <a:ext cx="1117147" cy="10644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33618</xdr:rowOff>
    </xdr:from>
    <xdr:to>
      <xdr:col>1</xdr:col>
      <xdr:colOff>288328</xdr:colOff>
      <xdr:row>4</xdr:row>
      <xdr:rowOff>89647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2968F7-93B6-404C-93D6-B4DEAB6CC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6" y="33618"/>
          <a:ext cx="826210" cy="818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range Red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53"/>
  <sheetViews>
    <sheetView workbookViewId="0">
      <selection activeCell="N15" sqref="N15"/>
    </sheetView>
  </sheetViews>
  <sheetFormatPr baseColWidth="10" defaultColWidth="8.83203125" defaultRowHeight="13" x14ac:dyDescent="0.15"/>
  <cols>
    <col min="2" max="2" width="17.5" bestFit="1" customWidth="1"/>
    <col min="3" max="3" width="20" bestFit="1" customWidth="1"/>
    <col min="7" max="7" width="10" bestFit="1" customWidth="1"/>
  </cols>
  <sheetData>
    <row r="1" spans="1:9" x14ac:dyDescent="0.15">
      <c r="A1" s="1">
        <v>45658</v>
      </c>
      <c r="B1" s="69">
        <v>45655</v>
      </c>
      <c r="C1" s="3" t="s">
        <v>78</v>
      </c>
      <c r="D1" s="1">
        <v>45658</v>
      </c>
      <c r="E1" s="1">
        <f>D1</f>
        <v>45658</v>
      </c>
      <c r="F1" s="1">
        <f>B1-6</f>
        <v>45649</v>
      </c>
      <c r="G1" t="s">
        <v>0</v>
      </c>
      <c r="H1" s="4" t="s">
        <v>1</v>
      </c>
      <c r="I1">
        <v>2025</v>
      </c>
    </row>
    <row r="2" spans="1:9" x14ac:dyDescent="0.15">
      <c r="A2" s="1">
        <v>45689</v>
      </c>
      <c r="B2" s="70">
        <f>B1+7</f>
        <v>45662</v>
      </c>
      <c r="C2" s="3" t="s">
        <v>79</v>
      </c>
      <c r="D2" s="1">
        <v>45658</v>
      </c>
      <c r="E2" s="1">
        <f t="shared" ref="E2:E24" si="0">D2</f>
        <v>45658</v>
      </c>
      <c r="F2" s="1">
        <f t="shared" ref="F2:F53" si="1">B2-6</f>
        <v>45656</v>
      </c>
      <c r="G2" t="s">
        <v>2</v>
      </c>
      <c r="H2" s="5" t="s">
        <v>3</v>
      </c>
    </row>
    <row r="3" spans="1:9" x14ac:dyDescent="0.15">
      <c r="A3" s="1">
        <v>45717</v>
      </c>
      <c r="B3" s="70">
        <f t="shared" ref="B3:B53" si="2">B2+7</f>
        <v>45669</v>
      </c>
      <c r="C3" s="3" t="s">
        <v>80</v>
      </c>
      <c r="D3" s="1">
        <v>45689</v>
      </c>
      <c r="E3" s="1">
        <f t="shared" si="0"/>
        <v>45689</v>
      </c>
      <c r="F3" s="1">
        <f t="shared" si="1"/>
        <v>45663</v>
      </c>
      <c r="G3" t="s">
        <v>4</v>
      </c>
      <c r="H3" s="5" t="s">
        <v>5</v>
      </c>
    </row>
    <row r="4" spans="1:9" x14ac:dyDescent="0.15">
      <c r="A4" s="1">
        <v>45748</v>
      </c>
      <c r="B4" s="70">
        <f t="shared" si="2"/>
        <v>45676</v>
      </c>
      <c r="C4" s="3" t="s">
        <v>81</v>
      </c>
      <c r="D4" s="1">
        <v>45689</v>
      </c>
      <c r="E4" s="1">
        <f t="shared" si="0"/>
        <v>45689</v>
      </c>
      <c r="F4" s="1">
        <f t="shared" si="1"/>
        <v>45670</v>
      </c>
      <c r="G4" t="s">
        <v>6</v>
      </c>
      <c r="H4" s="62" t="s">
        <v>7</v>
      </c>
    </row>
    <row r="5" spans="1:9" x14ac:dyDescent="0.15">
      <c r="A5" s="1">
        <v>45778</v>
      </c>
      <c r="B5" s="70">
        <f t="shared" si="2"/>
        <v>45683</v>
      </c>
      <c r="C5" s="3" t="s">
        <v>82</v>
      </c>
      <c r="D5" s="1">
        <v>45717</v>
      </c>
      <c r="E5" s="1">
        <f t="shared" si="0"/>
        <v>45717</v>
      </c>
      <c r="F5" s="1">
        <f t="shared" si="1"/>
        <v>45677</v>
      </c>
      <c r="G5" t="s">
        <v>8</v>
      </c>
      <c r="H5" s="6"/>
    </row>
    <row r="6" spans="1:9" x14ac:dyDescent="0.15">
      <c r="A6" s="1">
        <v>45809</v>
      </c>
      <c r="B6" s="70">
        <f t="shared" si="2"/>
        <v>45690</v>
      </c>
      <c r="C6" s="3" t="s">
        <v>83</v>
      </c>
      <c r="D6" s="1">
        <v>45717</v>
      </c>
      <c r="E6" s="1">
        <f t="shared" si="0"/>
        <v>45717</v>
      </c>
      <c r="F6" s="1">
        <f t="shared" si="1"/>
        <v>45684</v>
      </c>
      <c r="G6" t="s">
        <v>9</v>
      </c>
    </row>
    <row r="7" spans="1:9" x14ac:dyDescent="0.15">
      <c r="A7" s="1">
        <v>45839</v>
      </c>
      <c r="B7" s="70">
        <f t="shared" si="2"/>
        <v>45697</v>
      </c>
      <c r="C7" s="3" t="s">
        <v>84</v>
      </c>
      <c r="D7" s="1">
        <v>45748</v>
      </c>
      <c r="E7" s="1">
        <f t="shared" si="0"/>
        <v>45748</v>
      </c>
      <c r="F7" s="1">
        <f t="shared" si="1"/>
        <v>45691</v>
      </c>
      <c r="G7" t="s">
        <v>10</v>
      </c>
    </row>
    <row r="8" spans="1:9" x14ac:dyDescent="0.15">
      <c r="A8" s="1">
        <v>45870</v>
      </c>
      <c r="B8" s="70">
        <f t="shared" si="2"/>
        <v>45704</v>
      </c>
      <c r="C8" s="3" t="s">
        <v>85</v>
      </c>
      <c r="D8" s="1">
        <v>45748</v>
      </c>
      <c r="E8" s="1">
        <f t="shared" si="0"/>
        <v>45748</v>
      </c>
      <c r="F8" s="1">
        <f t="shared" si="1"/>
        <v>45698</v>
      </c>
      <c r="G8" t="s">
        <v>11</v>
      </c>
    </row>
    <row r="9" spans="1:9" x14ac:dyDescent="0.15">
      <c r="A9" s="1">
        <v>45901</v>
      </c>
      <c r="B9" s="70">
        <f t="shared" si="2"/>
        <v>45711</v>
      </c>
      <c r="C9" s="3" t="s">
        <v>86</v>
      </c>
      <c r="D9" s="1">
        <v>45778</v>
      </c>
      <c r="E9" s="1">
        <f t="shared" si="0"/>
        <v>45778</v>
      </c>
      <c r="F9" s="1">
        <f t="shared" si="1"/>
        <v>45705</v>
      </c>
      <c r="G9" t="s">
        <v>12</v>
      </c>
    </row>
    <row r="10" spans="1:9" x14ac:dyDescent="0.15">
      <c r="A10" s="1">
        <v>45931</v>
      </c>
      <c r="B10" s="70">
        <f t="shared" si="2"/>
        <v>45718</v>
      </c>
      <c r="C10" s="3" t="s">
        <v>87</v>
      </c>
      <c r="D10" s="1">
        <v>45778</v>
      </c>
      <c r="E10" s="1">
        <f t="shared" si="0"/>
        <v>45778</v>
      </c>
      <c r="F10" s="1">
        <f t="shared" si="1"/>
        <v>45712</v>
      </c>
      <c r="G10" t="s">
        <v>13</v>
      </c>
    </row>
    <row r="11" spans="1:9" x14ac:dyDescent="0.15">
      <c r="A11" s="1">
        <v>45962</v>
      </c>
      <c r="B11" s="70">
        <f t="shared" si="2"/>
        <v>45725</v>
      </c>
      <c r="C11" s="3" t="s">
        <v>88</v>
      </c>
      <c r="D11" s="1">
        <v>45809</v>
      </c>
      <c r="E11" s="1">
        <f t="shared" si="0"/>
        <v>45809</v>
      </c>
      <c r="F11" s="1">
        <f t="shared" si="1"/>
        <v>45719</v>
      </c>
      <c r="G11" t="s">
        <v>14</v>
      </c>
    </row>
    <row r="12" spans="1:9" x14ac:dyDescent="0.15">
      <c r="A12" s="1">
        <v>45992</v>
      </c>
      <c r="B12" s="70">
        <f t="shared" si="2"/>
        <v>45732</v>
      </c>
      <c r="C12" s="3" t="s">
        <v>89</v>
      </c>
      <c r="D12" s="1">
        <v>45809</v>
      </c>
      <c r="E12" s="1">
        <f t="shared" si="0"/>
        <v>45809</v>
      </c>
      <c r="F12" s="1">
        <f t="shared" si="1"/>
        <v>45726</v>
      </c>
      <c r="G12" t="s">
        <v>15</v>
      </c>
    </row>
    <row r="13" spans="1:9" x14ac:dyDescent="0.15">
      <c r="A13" s="1"/>
      <c r="B13" s="70">
        <f t="shared" si="2"/>
        <v>45739</v>
      </c>
      <c r="C13" s="3" t="s">
        <v>90</v>
      </c>
      <c r="D13" s="1">
        <v>45839</v>
      </c>
      <c r="E13" s="1">
        <f t="shared" si="0"/>
        <v>45839</v>
      </c>
      <c r="F13" s="1">
        <f t="shared" si="1"/>
        <v>45733</v>
      </c>
    </row>
    <row r="14" spans="1:9" x14ac:dyDescent="0.15">
      <c r="A14" s="1"/>
      <c r="B14" s="70">
        <f t="shared" si="2"/>
        <v>45746</v>
      </c>
      <c r="C14" s="3" t="s">
        <v>91</v>
      </c>
      <c r="D14" s="1">
        <v>45839</v>
      </c>
      <c r="E14" s="1">
        <f t="shared" si="0"/>
        <v>45839</v>
      </c>
      <c r="F14" s="1">
        <f t="shared" si="1"/>
        <v>45740</v>
      </c>
    </row>
    <row r="15" spans="1:9" x14ac:dyDescent="0.15">
      <c r="B15" s="70">
        <f t="shared" si="2"/>
        <v>45753</v>
      </c>
      <c r="C15" s="3" t="s">
        <v>92</v>
      </c>
      <c r="D15" s="1">
        <v>45870</v>
      </c>
      <c r="E15" s="1">
        <f t="shared" si="0"/>
        <v>45870</v>
      </c>
      <c r="F15" s="1">
        <f t="shared" si="1"/>
        <v>45747</v>
      </c>
    </row>
    <row r="16" spans="1:9" x14ac:dyDescent="0.15">
      <c r="B16" s="70">
        <f t="shared" si="2"/>
        <v>45760</v>
      </c>
      <c r="C16" s="3" t="s">
        <v>93</v>
      </c>
      <c r="D16" s="1">
        <v>45870</v>
      </c>
      <c r="E16" s="1">
        <f t="shared" si="0"/>
        <v>45870</v>
      </c>
      <c r="F16" s="1">
        <f t="shared" si="1"/>
        <v>45754</v>
      </c>
    </row>
    <row r="17" spans="2:6" x14ac:dyDescent="0.15">
      <c r="B17" s="70">
        <f t="shared" si="2"/>
        <v>45767</v>
      </c>
      <c r="C17" s="3" t="s">
        <v>94</v>
      </c>
      <c r="D17" s="1">
        <v>45901</v>
      </c>
      <c r="E17" s="1">
        <f t="shared" si="0"/>
        <v>45901</v>
      </c>
      <c r="F17" s="1">
        <f t="shared" si="1"/>
        <v>45761</v>
      </c>
    </row>
    <row r="18" spans="2:6" x14ac:dyDescent="0.15">
      <c r="B18" s="70">
        <f t="shared" si="2"/>
        <v>45774</v>
      </c>
      <c r="C18" s="3" t="s">
        <v>95</v>
      </c>
      <c r="D18" s="1">
        <v>45901</v>
      </c>
      <c r="E18" s="1">
        <f t="shared" si="0"/>
        <v>45901</v>
      </c>
      <c r="F18" s="1">
        <f t="shared" si="1"/>
        <v>45768</v>
      </c>
    </row>
    <row r="19" spans="2:6" x14ac:dyDescent="0.15">
      <c r="B19" s="70">
        <f t="shared" si="2"/>
        <v>45781</v>
      </c>
      <c r="C19" s="3" t="s">
        <v>96</v>
      </c>
      <c r="D19" s="1">
        <v>45931</v>
      </c>
      <c r="E19" s="1">
        <f t="shared" si="0"/>
        <v>45931</v>
      </c>
      <c r="F19" s="1">
        <f t="shared" si="1"/>
        <v>45775</v>
      </c>
    </row>
    <row r="20" spans="2:6" x14ac:dyDescent="0.15">
      <c r="B20" s="70">
        <f t="shared" si="2"/>
        <v>45788</v>
      </c>
      <c r="C20" s="3" t="s">
        <v>97</v>
      </c>
      <c r="D20" s="1">
        <v>45931</v>
      </c>
      <c r="E20" s="1">
        <f t="shared" si="0"/>
        <v>45931</v>
      </c>
      <c r="F20" s="1">
        <f t="shared" si="1"/>
        <v>45782</v>
      </c>
    </row>
    <row r="21" spans="2:6" x14ac:dyDescent="0.15">
      <c r="B21" s="70">
        <f t="shared" si="2"/>
        <v>45795</v>
      </c>
      <c r="C21" s="3" t="s">
        <v>98</v>
      </c>
      <c r="D21" s="1">
        <v>45962</v>
      </c>
      <c r="E21" s="1">
        <f t="shared" si="0"/>
        <v>45962</v>
      </c>
      <c r="F21" s="1">
        <f t="shared" si="1"/>
        <v>45789</v>
      </c>
    </row>
    <row r="22" spans="2:6" x14ac:dyDescent="0.15">
      <c r="B22" s="70">
        <f t="shared" si="2"/>
        <v>45802</v>
      </c>
      <c r="C22" s="3" t="s">
        <v>99</v>
      </c>
      <c r="D22" s="1">
        <v>45962</v>
      </c>
      <c r="E22" s="1">
        <f t="shared" si="0"/>
        <v>45962</v>
      </c>
      <c r="F22" s="1">
        <f t="shared" si="1"/>
        <v>45796</v>
      </c>
    </row>
    <row r="23" spans="2:6" x14ac:dyDescent="0.15">
      <c r="B23" s="70">
        <f t="shared" si="2"/>
        <v>45809</v>
      </c>
      <c r="C23" s="3" t="s">
        <v>100</v>
      </c>
      <c r="D23" s="1">
        <v>45992</v>
      </c>
      <c r="E23" s="1">
        <f t="shared" si="0"/>
        <v>45992</v>
      </c>
      <c r="F23" s="1">
        <f t="shared" si="1"/>
        <v>45803</v>
      </c>
    </row>
    <row r="24" spans="2:6" x14ac:dyDescent="0.15">
      <c r="B24" s="70">
        <f t="shared" si="2"/>
        <v>45816</v>
      </c>
      <c r="C24" s="3" t="s">
        <v>101</v>
      </c>
      <c r="D24" s="1">
        <v>45992</v>
      </c>
      <c r="E24" s="1">
        <f t="shared" si="0"/>
        <v>45992</v>
      </c>
      <c r="F24" s="1">
        <f t="shared" si="1"/>
        <v>45810</v>
      </c>
    </row>
    <row r="25" spans="2:6" x14ac:dyDescent="0.15">
      <c r="B25" s="70">
        <f t="shared" si="2"/>
        <v>45823</v>
      </c>
      <c r="E25" s="1"/>
      <c r="F25" s="1">
        <f t="shared" si="1"/>
        <v>45817</v>
      </c>
    </row>
    <row r="26" spans="2:6" x14ac:dyDescent="0.15">
      <c r="B26" s="70">
        <f t="shared" si="2"/>
        <v>45830</v>
      </c>
      <c r="E26" s="1"/>
      <c r="F26" s="1">
        <f t="shared" si="1"/>
        <v>45824</v>
      </c>
    </row>
    <row r="27" spans="2:6" x14ac:dyDescent="0.15">
      <c r="B27" s="70">
        <f t="shared" si="2"/>
        <v>45837</v>
      </c>
      <c r="F27" s="1">
        <f t="shared" si="1"/>
        <v>45831</v>
      </c>
    </row>
    <row r="28" spans="2:6" x14ac:dyDescent="0.15">
      <c r="B28" s="70">
        <f t="shared" si="2"/>
        <v>45844</v>
      </c>
      <c r="F28" s="1">
        <f t="shared" si="1"/>
        <v>45838</v>
      </c>
    </row>
    <row r="29" spans="2:6" x14ac:dyDescent="0.15">
      <c r="B29" s="70">
        <f t="shared" si="2"/>
        <v>45851</v>
      </c>
      <c r="F29" s="1">
        <f t="shared" si="1"/>
        <v>45845</v>
      </c>
    </row>
    <row r="30" spans="2:6" x14ac:dyDescent="0.15">
      <c r="B30" s="70">
        <f t="shared" si="2"/>
        <v>45858</v>
      </c>
      <c r="F30" s="1">
        <f t="shared" si="1"/>
        <v>45852</v>
      </c>
    </row>
    <row r="31" spans="2:6" x14ac:dyDescent="0.15">
      <c r="B31" s="70">
        <f t="shared" si="2"/>
        <v>45865</v>
      </c>
      <c r="F31" s="1">
        <f t="shared" si="1"/>
        <v>45859</v>
      </c>
    </row>
    <row r="32" spans="2:6" x14ac:dyDescent="0.15">
      <c r="B32" s="70">
        <f t="shared" si="2"/>
        <v>45872</v>
      </c>
      <c r="F32" s="1">
        <f t="shared" si="1"/>
        <v>45866</v>
      </c>
    </row>
    <row r="33" spans="2:6" x14ac:dyDescent="0.15">
      <c r="B33" s="70">
        <f t="shared" si="2"/>
        <v>45879</v>
      </c>
      <c r="F33" s="1">
        <f t="shared" si="1"/>
        <v>45873</v>
      </c>
    </row>
    <row r="34" spans="2:6" x14ac:dyDescent="0.15">
      <c r="B34" s="70">
        <f t="shared" si="2"/>
        <v>45886</v>
      </c>
      <c r="F34" s="1">
        <f t="shared" si="1"/>
        <v>45880</v>
      </c>
    </row>
    <row r="35" spans="2:6" x14ac:dyDescent="0.15">
      <c r="B35" s="70">
        <f t="shared" si="2"/>
        <v>45893</v>
      </c>
      <c r="F35" s="1">
        <f t="shared" si="1"/>
        <v>45887</v>
      </c>
    </row>
    <row r="36" spans="2:6" x14ac:dyDescent="0.15">
      <c r="B36" s="70">
        <f t="shared" si="2"/>
        <v>45900</v>
      </c>
      <c r="F36" s="1">
        <f t="shared" si="1"/>
        <v>45894</v>
      </c>
    </row>
    <row r="37" spans="2:6" x14ac:dyDescent="0.15">
      <c r="B37" s="70">
        <f t="shared" si="2"/>
        <v>45907</v>
      </c>
      <c r="F37" s="1">
        <f t="shared" si="1"/>
        <v>45901</v>
      </c>
    </row>
    <row r="38" spans="2:6" x14ac:dyDescent="0.15">
      <c r="B38" s="70">
        <f t="shared" si="2"/>
        <v>45914</v>
      </c>
      <c r="F38" s="1">
        <f t="shared" si="1"/>
        <v>45908</v>
      </c>
    </row>
    <row r="39" spans="2:6" x14ac:dyDescent="0.15">
      <c r="B39" s="70">
        <f t="shared" si="2"/>
        <v>45921</v>
      </c>
      <c r="F39" s="1">
        <f t="shared" si="1"/>
        <v>45915</v>
      </c>
    </row>
    <row r="40" spans="2:6" x14ac:dyDescent="0.15">
      <c r="B40" s="70">
        <f t="shared" si="2"/>
        <v>45928</v>
      </c>
      <c r="F40" s="1">
        <f t="shared" si="1"/>
        <v>45922</v>
      </c>
    </row>
    <row r="41" spans="2:6" x14ac:dyDescent="0.15">
      <c r="B41" s="70">
        <f t="shared" si="2"/>
        <v>45935</v>
      </c>
      <c r="F41" s="1">
        <f t="shared" si="1"/>
        <v>45929</v>
      </c>
    </row>
    <row r="42" spans="2:6" x14ac:dyDescent="0.15">
      <c r="B42" s="70">
        <f t="shared" si="2"/>
        <v>45942</v>
      </c>
      <c r="F42" s="1">
        <f t="shared" si="1"/>
        <v>45936</v>
      </c>
    </row>
    <row r="43" spans="2:6" x14ac:dyDescent="0.15">
      <c r="B43" s="70">
        <f t="shared" si="2"/>
        <v>45949</v>
      </c>
      <c r="F43" s="1">
        <f t="shared" si="1"/>
        <v>45943</v>
      </c>
    </row>
    <row r="44" spans="2:6" x14ac:dyDescent="0.15">
      <c r="B44" s="70">
        <f t="shared" si="2"/>
        <v>45956</v>
      </c>
      <c r="F44" s="1">
        <f t="shared" si="1"/>
        <v>45950</v>
      </c>
    </row>
    <row r="45" spans="2:6" x14ac:dyDescent="0.15">
      <c r="B45" s="70">
        <f t="shared" si="2"/>
        <v>45963</v>
      </c>
      <c r="F45" s="1">
        <f t="shared" si="1"/>
        <v>45957</v>
      </c>
    </row>
    <row r="46" spans="2:6" x14ac:dyDescent="0.15">
      <c r="B46" s="70">
        <f t="shared" si="2"/>
        <v>45970</v>
      </c>
      <c r="F46" s="1">
        <f t="shared" si="1"/>
        <v>45964</v>
      </c>
    </row>
    <row r="47" spans="2:6" x14ac:dyDescent="0.15">
      <c r="B47" s="70">
        <f t="shared" si="2"/>
        <v>45977</v>
      </c>
      <c r="F47" s="1">
        <f t="shared" si="1"/>
        <v>45971</v>
      </c>
    </row>
    <row r="48" spans="2:6" x14ac:dyDescent="0.15">
      <c r="B48" s="70">
        <f t="shared" si="2"/>
        <v>45984</v>
      </c>
      <c r="F48" s="1">
        <f t="shared" si="1"/>
        <v>45978</v>
      </c>
    </row>
    <row r="49" spans="2:6" x14ac:dyDescent="0.15">
      <c r="B49" s="70">
        <f t="shared" si="2"/>
        <v>45991</v>
      </c>
      <c r="F49" s="1">
        <f t="shared" si="1"/>
        <v>45985</v>
      </c>
    </row>
    <row r="50" spans="2:6" x14ac:dyDescent="0.15">
      <c r="B50" s="70">
        <f t="shared" si="2"/>
        <v>45998</v>
      </c>
      <c r="F50" s="1">
        <f t="shared" si="1"/>
        <v>45992</v>
      </c>
    </row>
    <row r="51" spans="2:6" x14ac:dyDescent="0.15">
      <c r="B51" s="70">
        <f t="shared" si="2"/>
        <v>46005</v>
      </c>
      <c r="F51" s="1">
        <f t="shared" si="1"/>
        <v>45999</v>
      </c>
    </row>
    <row r="52" spans="2:6" x14ac:dyDescent="0.15">
      <c r="B52" s="70">
        <f t="shared" si="2"/>
        <v>46012</v>
      </c>
      <c r="F52" s="1">
        <f t="shared" si="1"/>
        <v>46006</v>
      </c>
    </row>
    <row r="53" spans="2:6" x14ac:dyDescent="0.15">
      <c r="B53" s="70">
        <f t="shared" si="2"/>
        <v>46019</v>
      </c>
      <c r="F53" s="1">
        <f t="shared" si="1"/>
        <v>46013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8"/>
  <sheetViews>
    <sheetView workbookViewId="0">
      <selection activeCell="C5" sqref="C5"/>
    </sheetView>
  </sheetViews>
  <sheetFormatPr baseColWidth="10" defaultColWidth="8.83203125" defaultRowHeight="13" x14ac:dyDescent="0.15"/>
  <cols>
    <col min="1" max="1" width="20" bestFit="1" customWidth="1"/>
    <col min="2" max="2" width="9.1640625" bestFit="1" customWidth="1"/>
    <col min="3" max="3" width="10.1640625" bestFit="1" customWidth="1"/>
    <col min="4" max="4" width="39" bestFit="1" customWidth="1"/>
    <col min="5" max="5" width="10.1640625" bestFit="1" customWidth="1"/>
  </cols>
  <sheetData>
    <row r="1" spans="1:5" x14ac:dyDescent="0.15">
      <c r="A1" s="3" t="s">
        <v>78</v>
      </c>
      <c r="B1" s="4" t="s">
        <v>66</v>
      </c>
      <c r="C1" s="2">
        <v>45658</v>
      </c>
      <c r="D1" t="s">
        <v>16</v>
      </c>
    </row>
    <row r="2" spans="1:5" x14ac:dyDescent="0.15">
      <c r="A2" s="3" t="s">
        <v>81</v>
      </c>
      <c r="B2" s="5" t="s">
        <v>67</v>
      </c>
      <c r="C2" s="2">
        <v>45705</v>
      </c>
      <c r="D2" t="s">
        <v>17</v>
      </c>
      <c r="E2" s="2"/>
    </row>
    <row r="3" spans="1:5" x14ac:dyDescent="0.15">
      <c r="A3" s="3" t="s">
        <v>85</v>
      </c>
      <c r="B3" s="4" t="s">
        <v>68</v>
      </c>
      <c r="C3" s="2">
        <v>45765</v>
      </c>
      <c r="D3" t="s">
        <v>18</v>
      </c>
    </row>
    <row r="4" spans="1:5" x14ac:dyDescent="0.15">
      <c r="A4" s="3" t="s">
        <v>85</v>
      </c>
      <c r="B4" s="4" t="s">
        <v>68</v>
      </c>
      <c r="C4" s="2">
        <v>45768</v>
      </c>
      <c r="D4" t="s">
        <v>102</v>
      </c>
    </row>
    <row r="5" spans="1:5" x14ac:dyDescent="0.15">
      <c r="A5" s="3" t="s">
        <v>87</v>
      </c>
      <c r="B5" s="5" t="s">
        <v>69</v>
      </c>
      <c r="C5" s="2">
        <v>45796</v>
      </c>
      <c r="D5" t="s">
        <v>19</v>
      </c>
    </row>
    <row r="6" spans="1:5" x14ac:dyDescent="0.15">
      <c r="A6" s="3" t="s">
        <v>89</v>
      </c>
      <c r="B6" s="4" t="s">
        <v>70</v>
      </c>
      <c r="C6" s="2">
        <v>45832</v>
      </c>
      <c r="D6" t="s">
        <v>71</v>
      </c>
    </row>
    <row r="7" spans="1:5" x14ac:dyDescent="0.15">
      <c r="A7" s="3" t="s">
        <v>90</v>
      </c>
      <c r="B7" s="5" t="s">
        <v>72</v>
      </c>
      <c r="C7" s="2">
        <v>45839</v>
      </c>
      <c r="D7" t="s">
        <v>20</v>
      </c>
    </row>
    <row r="8" spans="1:5" x14ac:dyDescent="0.15">
      <c r="A8" s="3" t="s">
        <v>92</v>
      </c>
      <c r="B8" s="5" t="s">
        <v>73</v>
      </c>
      <c r="C8" s="2">
        <v>45873</v>
      </c>
      <c r="D8" t="s">
        <v>21</v>
      </c>
    </row>
    <row r="9" spans="1:5" x14ac:dyDescent="0.15">
      <c r="A9" s="3" t="s">
        <v>94</v>
      </c>
      <c r="B9" s="5" t="s">
        <v>74</v>
      </c>
      <c r="C9" s="2">
        <v>45901</v>
      </c>
      <c r="D9" t="s">
        <v>22</v>
      </c>
    </row>
    <row r="10" spans="1:5" x14ac:dyDescent="0.15">
      <c r="A10" s="3" t="s">
        <v>95</v>
      </c>
      <c r="B10" s="5" t="s">
        <v>74</v>
      </c>
      <c r="C10" s="2">
        <v>45930</v>
      </c>
      <c r="D10" t="s">
        <v>23</v>
      </c>
    </row>
    <row r="11" spans="1:5" x14ac:dyDescent="0.15">
      <c r="A11" s="3" t="s">
        <v>96</v>
      </c>
      <c r="B11" s="5" t="s">
        <v>75</v>
      </c>
      <c r="C11" s="2">
        <v>45943</v>
      </c>
      <c r="D11" t="s">
        <v>24</v>
      </c>
    </row>
    <row r="12" spans="1:5" x14ac:dyDescent="0.15">
      <c r="A12" s="3" t="s">
        <v>98</v>
      </c>
      <c r="B12" s="5" t="s">
        <v>76</v>
      </c>
      <c r="C12" s="2">
        <v>45972</v>
      </c>
      <c r="D12" t="s">
        <v>25</v>
      </c>
    </row>
    <row r="13" spans="1:5" x14ac:dyDescent="0.15">
      <c r="A13" s="3" t="s">
        <v>101</v>
      </c>
      <c r="B13" s="5" t="s">
        <v>77</v>
      </c>
      <c r="C13" s="2">
        <v>46016</v>
      </c>
      <c r="D13" t="s">
        <v>26</v>
      </c>
    </row>
    <row r="14" spans="1:5" x14ac:dyDescent="0.15">
      <c r="A14" s="3" t="s">
        <v>101</v>
      </c>
      <c r="B14" s="5" t="s">
        <v>77</v>
      </c>
      <c r="C14" s="2">
        <v>46017</v>
      </c>
      <c r="D14" t="s">
        <v>27</v>
      </c>
    </row>
    <row r="15" spans="1:5" x14ac:dyDescent="0.15">
      <c r="A15" s="3"/>
    </row>
    <row r="17" spans="1:1" x14ac:dyDescent="0.15">
      <c r="A17" s="3"/>
    </row>
    <row r="18" spans="1:1" x14ac:dyDescent="0.15">
      <c r="A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366"/>
  <sheetViews>
    <sheetView workbookViewId="0">
      <selection activeCell="B2" sqref="B2"/>
    </sheetView>
  </sheetViews>
  <sheetFormatPr baseColWidth="10" defaultColWidth="8.83203125" defaultRowHeight="13" x14ac:dyDescent="0.15"/>
  <cols>
    <col min="1" max="1" width="7.1640625" bestFit="1" customWidth="1"/>
    <col min="2" max="2" width="10.1640625" bestFit="1" customWidth="1"/>
    <col min="3" max="3" width="10.83203125" bestFit="1" customWidth="1"/>
  </cols>
  <sheetData>
    <row r="1" spans="1:3" x14ac:dyDescent="0.15">
      <c r="A1" s="1" t="str">
        <f t="shared" ref="A1:A49" si="0">TEXT(B1,"mmm-yy")</f>
        <v>Jan-25</v>
      </c>
      <c r="B1" s="2">
        <v>45658</v>
      </c>
      <c r="C1" t="str">
        <f t="shared" ref="C1:C49" si="1">IF(WEEKDAY(B1,1)=1,"Sunday",IF(WEEKDAY(B1,1)=2,"Monday",IF(WEEKDAY(B1,1)=3,"Tuesday",IF(WEEKDAY(B1,1)=4,"Wednesday",IF(WEEKDAY(B1,1)=5,"Thursday",IF(WEEKDAY(B1,1)=6,"Friday",IF(WEEKDAY(B1,1)=7,"Saturday")))))))</f>
        <v>Wednesday</v>
      </c>
    </row>
    <row r="2" spans="1:3" x14ac:dyDescent="0.15">
      <c r="A2" s="1" t="str">
        <f t="shared" si="0"/>
        <v>Jan-25</v>
      </c>
      <c r="B2" s="2">
        <f>B1+1</f>
        <v>45659</v>
      </c>
      <c r="C2" t="str">
        <f t="shared" si="1"/>
        <v>Thursday</v>
      </c>
    </row>
    <row r="3" spans="1:3" x14ac:dyDescent="0.15">
      <c r="A3" s="1" t="str">
        <f t="shared" si="0"/>
        <v>Jan-25</v>
      </c>
      <c r="B3" s="2">
        <f t="shared" ref="B3:B66" si="2">B2+1</f>
        <v>45660</v>
      </c>
      <c r="C3" t="str">
        <f t="shared" si="1"/>
        <v>Friday</v>
      </c>
    </row>
    <row r="4" spans="1:3" x14ac:dyDescent="0.15">
      <c r="A4" s="1" t="str">
        <f t="shared" si="0"/>
        <v>Jan-25</v>
      </c>
      <c r="B4" s="2">
        <f t="shared" si="2"/>
        <v>45661</v>
      </c>
      <c r="C4" t="str">
        <f t="shared" si="1"/>
        <v>Saturday</v>
      </c>
    </row>
    <row r="5" spans="1:3" x14ac:dyDescent="0.15">
      <c r="A5" s="1" t="str">
        <f t="shared" si="0"/>
        <v>Jan-25</v>
      </c>
      <c r="B5" s="2">
        <f t="shared" si="2"/>
        <v>45662</v>
      </c>
      <c r="C5" t="str">
        <f t="shared" si="1"/>
        <v>Sunday</v>
      </c>
    </row>
    <row r="6" spans="1:3" x14ac:dyDescent="0.15">
      <c r="A6" s="1" t="str">
        <f t="shared" si="0"/>
        <v>Jan-25</v>
      </c>
      <c r="B6" s="2">
        <f t="shared" si="2"/>
        <v>45663</v>
      </c>
      <c r="C6" t="str">
        <f t="shared" si="1"/>
        <v>Monday</v>
      </c>
    </row>
    <row r="7" spans="1:3" x14ac:dyDescent="0.15">
      <c r="A7" s="1" t="str">
        <f t="shared" si="0"/>
        <v>Jan-25</v>
      </c>
      <c r="B7" s="2">
        <f t="shared" si="2"/>
        <v>45664</v>
      </c>
      <c r="C7" t="str">
        <f t="shared" si="1"/>
        <v>Tuesday</v>
      </c>
    </row>
    <row r="8" spans="1:3" x14ac:dyDescent="0.15">
      <c r="A8" s="1" t="str">
        <f t="shared" si="0"/>
        <v>Jan-25</v>
      </c>
      <c r="B8" s="2">
        <f t="shared" si="2"/>
        <v>45665</v>
      </c>
      <c r="C8" t="str">
        <f t="shared" si="1"/>
        <v>Wednesday</v>
      </c>
    </row>
    <row r="9" spans="1:3" x14ac:dyDescent="0.15">
      <c r="A9" s="1" t="str">
        <f t="shared" si="0"/>
        <v>Jan-25</v>
      </c>
      <c r="B9" s="2">
        <f t="shared" si="2"/>
        <v>45666</v>
      </c>
      <c r="C9" t="str">
        <f t="shared" si="1"/>
        <v>Thursday</v>
      </c>
    </row>
    <row r="10" spans="1:3" x14ac:dyDescent="0.15">
      <c r="A10" s="1" t="str">
        <f t="shared" si="0"/>
        <v>Jan-25</v>
      </c>
      <c r="B10" s="2">
        <f t="shared" si="2"/>
        <v>45667</v>
      </c>
      <c r="C10" t="str">
        <f t="shared" si="1"/>
        <v>Friday</v>
      </c>
    </row>
    <row r="11" spans="1:3" x14ac:dyDescent="0.15">
      <c r="A11" s="1" t="str">
        <f t="shared" si="0"/>
        <v>Jan-25</v>
      </c>
      <c r="B11" s="2">
        <f t="shared" si="2"/>
        <v>45668</v>
      </c>
      <c r="C11" t="str">
        <f t="shared" si="1"/>
        <v>Saturday</v>
      </c>
    </row>
    <row r="12" spans="1:3" x14ac:dyDescent="0.15">
      <c r="A12" s="1" t="str">
        <f t="shared" si="0"/>
        <v>Jan-25</v>
      </c>
      <c r="B12" s="2">
        <f t="shared" si="2"/>
        <v>45669</v>
      </c>
      <c r="C12" t="str">
        <f t="shared" si="1"/>
        <v>Sunday</v>
      </c>
    </row>
    <row r="13" spans="1:3" x14ac:dyDescent="0.15">
      <c r="A13" s="1" t="str">
        <f t="shared" si="0"/>
        <v>Jan-25</v>
      </c>
      <c r="B13" s="2">
        <f t="shared" si="2"/>
        <v>45670</v>
      </c>
      <c r="C13" t="str">
        <f t="shared" si="1"/>
        <v>Monday</v>
      </c>
    </row>
    <row r="14" spans="1:3" x14ac:dyDescent="0.15">
      <c r="A14" s="1" t="str">
        <f t="shared" si="0"/>
        <v>Jan-25</v>
      </c>
      <c r="B14" s="2">
        <f t="shared" si="2"/>
        <v>45671</v>
      </c>
      <c r="C14" t="str">
        <f t="shared" si="1"/>
        <v>Tuesday</v>
      </c>
    </row>
    <row r="15" spans="1:3" x14ac:dyDescent="0.15">
      <c r="A15" s="1" t="str">
        <f t="shared" si="0"/>
        <v>Jan-25</v>
      </c>
      <c r="B15" s="2">
        <f t="shared" si="2"/>
        <v>45672</v>
      </c>
      <c r="C15" t="str">
        <f t="shared" si="1"/>
        <v>Wednesday</v>
      </c>
    </row>
    <row r="16" spans="1:3" x14ac:dyDescent="0.15">
      <c r="A16" s="1" t="str">
        <f t="shared" si="0"/>
        <v>Jan-25</v>
      </c>
      <c r="B16" s="2">
        <f t="shared" si="2"/>
        <v>45673</v>
      </c>
      <c r="C16" t="str">
        <f t="shared" si="1"/>
        <v>Thursday</v>
      </c>
    </row>
    <row r="17" spans="1:3" x14ac:dyDescent="0.15">
      <c r="A17" s="1" t="str">
        <f t="shared" si="0"/>
        <v>Jan-25</v>
      </c>
      <c r="B17" s="2">
        <f t="shared" si="2"/>
        <v>45674</v>
      </c>
      <c r="C17" t="str">
        <f t="shared" si="1"/>
        <v>Friday</v>
      </c>
    </row>
    <row r="18" spans="1:3" x14ac:dyDescent="0.15">
      <c r="A18" s="1" t="str">
        <f t="shared" si="0"/>
        <v>Jan-25</v>
      </c>
      <c r="B18" s="2">
        <f t="shared" si="2"/>
        <v>45675</v>
      </c>
      <c r="C18" t="str">
        <f t="shared" si="1"/>
        <v>Saturday</v>
      </c>
    </row>
    <row r="19" spans="1:3" x14ac:dyDescent="0.15">
      <c r="A19" s="1" t="str">
        <f t="shared" si="0"/>
        <v>Jan-25</v>
      </c>
      <c r="B19" s="2">
        <f t="shared" si="2"/>
        <v>45676</v>
      </c>
      <c r="C19" t="str">
        <f t="shared" si="1"/>
        <v>Sunday</v>
      </c>
    </row>
    <row r="20" spans="1:3" x14ac:dyDescent="0.15">
      <c r="A20" s="1" t="str">
        <f t="shared" si="0"/>
        <v>Jan-25</v>
      </c>
      <c r="B20" s="2">
        <f t="shared" si="2"/>
        <v>45677</v>
      </c>
      <c r="C20" t="str">
        <f t="shared" si="1"/>
        <v>Monday</v>
      </c>
    </row>
    <row r="21" spans="1:3" x14ac:dyDescent="0.15">
      <c r="A21" s="1" t="str">
        <f t="shared" si="0"/>
        <v>Jan-25</v>
      </c>
      <c r="B21" s="2">
        <f t="shared" si="2"/>
        <v>45678</v>
      </c>
      <c r="C21" t="str">
        <f t="shared" si="1"/>
        <v>Tuesday</v>
      </c>
    </row>
    <row r="22" spans="1:3" x14ac:dyDescent="0.15">
      <c r="A22" s="1" t="str">
        <f t="shared" si="0"/>
        <v>Jan-25</v>
      </c>
      <c r="B22" s="2">
        <f t="shared" si="2"/>
        <v>45679</v>
      </c>
      <c r="C22" t="str">
        <f t="shared" si="1"/>
        <v>Wednesday</v>
      </c>
    </row>
    <row r="23" spans="1:3" x14ac:dyDescent="0.15">
      <c r="A23" s="1" t="str">
        <f t="shared" si="0"/>
        <v>Jan-25</v>
      </c>
      <c r="B23" s="2">
        <f t="shared" si="2"/>
        <v>45680</v>
      </c>
      <c r="C23" t="str">
        <f t="shared" si="1"/>
        <v>Thursday</v>
      </c>
    </row>
    <row r="24" spans="1:3" x14ac:dyDescent="0.15">
      <c r="A24" s="1" t="str">
        <f t="shared" si="0"/>
        <v>Jan-25</v>
      </c>
      <c r="B24" s="2">
        <f t="shared" si="2"/>
        <v>45681</v>
      </c>
      <c r="C24" t="str">
        <f t="shared" si="1"/>
        <v>Friday</v>
      </c>
    </row>
    <row r="25" spans="1:3" x14ac:dyDescent="0.15">
      <c r="A25" s="1" t="str">
        <f t="shared" si="0"/>
        <v>Jan-25</v>
      </c>
      <c r="B25" s="2">
        <f t="shared" si="2"/>
        <v>45682</v>
      </c>
      <c r="C25" t="str">
        <f t="shared" si="1"/>
        <v>Saturday</v>
      </c>
    </row>
    <row r="26" spans="1:3" x14ac:dyDescent="0.15">
      <c r="A26" s="1" t="str">
        <f t="shared" si="0"/>
        <v>Jan-25</v>
      </c>
      <c r="B26" s="2">
        <f t="shared" si="2"/>
        <v>45683</v>
      </c>
      <c r="C26" t="str">
        <f t="shared" si="1"/>
        <v>Sunday</v>
      </c>
    </row>
    <row r="27" spans="1:3" x14ac:dyDescent="0.15">
      <c r="A27" s="1" t="str">
        <f t="shared" si="0"/>
        <v>Jan-25</v>
      </c>
      <c r="B27" s="2">
        <f t="shared" si="2"/>
        <v>45684</v>
      </c>
      <c r="C27" t="str">
        <f t="shared" si="1"/>
        <v>Monday</v>
      </c>
    </row>
    <row r="28" spans="1:3" x14ac:dyDescent="0.15">
      <c r="A28" s="1" t="str">
        <f t="shared" si="0"/>
        <v>Jan-25</v>
      </c>
      <c r="B28" s="2">
        <f t="shared" si="2"/>
        <v>45685</v>
      </c>
      <c r="C28" t="str">
        <f t="shared" si="1"/>
        <v>Tuesday</v>
      </c>
    </row>
    <row r="29" spans="1:3" x14ac:dyDescent="0.15">
      <c r="A29" s="1" t="str">
        <f t="shared" si="0"/>
        <v>Jan-25</v>
      </c>
      <c r="B29" s="2">
        <f t="shared" si="2"/>
        <v>45686</v>
      </c>
      <c r="C29" t="str">
        <f t="shared" si="1"/>
        <v>Wednesday</v>
      </c>
    </row>
    <row r="30" spans="1:3" x14ac:dyDescent="0.15">
      <c r="A30" s="1" t="str">
        <f t="shared" si="0"/>
        <v>Jan-25</v>
      </c>
      <c r="B30" s="2">
        <f t="shared" si="2"/>
        <v>45687</v>
      </c>
      <c r="C30" t="str">
        <f t="shared" si="1"/>
        <v>Thursday</v>
      </c>
    </row>
    <row r="31" spans="1:3" x14ac:dyDescent="0.15">
      <c r="A31" s="1" t="str">
        <f t="shared" si="0"/>
        <v>Jan-25</v>
      </c>
      <c r="B31" s="2">
        <f t="shared" si="2"/>
        <v>45688</v>
      </c>
      <c r="C31" t="str">
        <f t="shared" si="1"/>
        <v>Friday</v>
      </c>
    </row>
    <row r="32" spans="1:3" x14ac:dyDescent="0.15">
      <c r="A32" s="1" t="str">
        <f t="shared" si="0"/>
        <v>Feb-25</v>
      </c>
      <c r="B32" s="2">
        <f t="shared" si="2"/>
        <v>45689</v>
      </c>
      <c r="C32" t="str">
        <f t="shared" si="1"/>
        <v>Saturday</v>
      </c>
    </row>
    <row r="33" spans="1:3" x14ac:dyDescent="0.15">
      <c r="A33" s="1" t="str">
        <f t="shared" si="0"/>
        <v>Feb-25</v>
      </c>
      <c r="B33" s="2">
        <f t="shared" si="2"/>
        <v>45690</v>
      </c>
      <c r="C33" t="str">
        <f t="shared" si="1"/>
        <v>Sunday</v>
      </c>
    </row>
    <row r="34" spans="1:3" x14ac:dyDescent="0.15">
      <c r="A34" s="1" t="str">
        <f t="shared" si="0"/>
        <v>Feb-25</v>
      </c>
      <c r="B34" s="2">
        <f t="shared" si="2"/>
        <v>45691</v>
      </c>
      <c r="C34" t="str">
        <f t="shared" si="1"/>
        <v>Monday</v>
      </c>
    </row>
    <row r="35" spans="1:3" x14ac:dyDescent="0.15">
      <c r="A35" s="1" t="str">
        <f t="shared" si="0"/>
        <v>Feb-25</v>
      </c>
      <c r="B35" s="2">
        <f t="shared" si="2"/>
        <v>45692</v>
      </c>
      <c r="C35" t="str">
        <f t="shared" si="1"/>
        <v>Tuesday</v>
      </c>
    </row>
    <row r="36" spans="1:3" x14ac:dyDescent="0.15">
      <c r="A36" s="1" t="str">
        <f t="shared" si="0"/>
        <v>Feb-25</v>
      </c>
      <c r="B36" s="2">
        <f t="shared" si="2"/>
        <v>45693</v>
      </c>
      <c r="C36" t="str">
        <f t="shared" si="1"/>
        <v>Wednesday</v>
      </c>
    </row>
    <row r="37" spans="1:3" x14ac:dyDescent="0.15">
      <c r="A37" s="1" t="str">
        <f t="shared" si="0"/>
        <v>Feb-25</v>
      </c>
      <c r="B37" s="2">
        <f t="shared" si="2"/>
        <v>45694</v>
      </c>
      <c r="C37" t="str">
        <f t="shared" si="1"/>
        <v>Thursday</v>
      </c>
    </row>
    <row r="38" spans="1:3" x14ac:dyDescent="0.15">
      <c r="A38" s="1" t="str">
        <f t="shared" si="0"/>
        <v>Feb-25</v>
      </c>
      <c r="B38" s="2">
        <f t="shared" si="2"/>
        <v>45695</v>
      </c>
      <c r="C38" t="str">
        <f t="shared" si="1"/>
        <v>Friday</v>
      </c>
    </row>
    <row r="39" spans="1:3" x14ac:dyDescent="0.15">
      <c r="A39" s="1" t="str">
        <f t="shared" si="0"/>
        <v>Feb-25</v>
      </c>
      <c r="B39" s="2">
        <f t="shared" si="2"/>
        <v>45696</v>
      </c>
      <c r="C39" t="str">
        <f t="shared" si="1"/>
        <v>Saturday</v>
      </c>
    </row>
    <row r="40" spans="1:3" x14ac:dyDescent="0.15">
      <c r="A40" s="1" t="str">
        <f t="shared" si="0"/>
        <v>Feb-25</v>
      </c>
      <c r="B40" s="2">
        <f t="shared" si="2"/>
        <v>45697</v>
      </c>
      <c r="C40" t="str">
        <f t="shared" si="1"/>
        <v>Sunday</v>
      </c>
    </row>
    <row r="41" spans="1:3" x14ac:dyDescent="0.15">
      <c r="A41" s="1" t="str">
        <f t="shared" si="0"/>
        <v>Feb-25</v>
      </c>
      <c r="B41" s="2">
        <f t="shared" si="2"/>
        <v>45698</v>
      </c>
      <c r="C41" t="str">
        <f t="shared" si="1"/>
        <v>Monday</v>
      </c>
    </row>
    <row r="42" spans="1:3" x14ac:dyDescent="0.15">
      <c r="A42" s="1" t="str">
        <f t="shared" si="0"/>
        <v>Feb-25</v>
      </c>
      <c r="B42" s="2">
        <f t="shared" si="2"/>
        <v>45699</v>
      </c>
      <c r="C42" t="str">
        <f t="shared" si="1"/>
        <v>Tuesday</v>
      </c>
    </row>
    <row r="43" spans="1:3" x14ac:dyDescent="0.15">
      <c r="A43" s="1" t="str">
        <f t="shared" si="0"/>
        <v>Feb-25</v>
      </c>
      <c r="B43" s="2">
        <f t="shared" si="2"/>
        <v>45700</v>
      </c>
      <c r="C43" t="str">
        <f t="shared" si="1"/>
        <v>Wednesday</v>
      </c>
    </row>
    <row r="44" spans="1:3" x14ac:dyDescent="0.15">
      <c r="A44" s="1" t="str">
        <f t="shared" si="0"/>
        <v>Feb-25</v>
      </c>
      <c r="B44" s="2">
        <f t="shared" si="2"/>
        <v>45701</v>
      </c>
      <c r="C44" t="str">
        <f t="shared" si="1"/>
        <v>Thursday</v>
      </c>
    </row>
    <row r="45" spans="1:3" x14ac:dyDescent="0.15">
      <c r="A45" s="1" t="str">
        <f t="shared" si="0"/>
        <v>Feb-25</v>
      </c>
      <c r="B45" s="2">
        <f t="shared" si="2"/>
        <v>45702</v>
      </c>
      <c r="C45" t="str">
        <f t="shared" si="1"/>
        <v>Friday</v>
      </c>
    </row>
    <row r="46" spans="1:3" x14ac:dyDescent="0.15">
      <c r="A46" s="1" t="str">
        <f t="shared" si="0"/>
        <v>Feb-25</v>
      </c>
      <c r="B46" s="2">
        <f t="shared" si="2"/>
        <v>45703</v>
      </c>
      <c r="C46" t="str">
        <f t="shared" si="1"/>
        <v>Saturday</v>
      </c>
    </row>
    <row r="47" spans="1:3" x14ac:dyDescent="0.15">
      <c r="A47" s="1" t="str">
        <f t="shared" si="0"/>
        <v>Feb-25</v>
      </c>
      <c r="B47" s="2">
        <f t="shared" si="2"/>
        <v>45704</v>
      </c>
      <c r="C47" t="str">
        <f t="shared" si="1"/>
        <v>Sunday</v>
      </c>
    </row>
    <row r="48" spans="1:3" x14ac:dyDescent="0.15">
      <c r="A48" s="1" t="str">
        <f t="shared" si="0"/>
        <v>Feb-25</v>
      </c>
      <c r="B48" s="2">
        <f t="shared" si="2"/>
        <v>45705</v>
      </c>
      <c r="C48" t="str">
        <f t="shared" si="1"/>
        <v>Monday</v>
      </c>
    </row>
    <row r="49" spans="1:3" x14ac:dyDescent="0.15">
      <c r="A49" s="1" t="str">
        <f t="shared" si="0"/>
        <v>Feb-25</v>
      </c>
      <c r="B49" s="2">
        <f t="shared" si="2"/>
        <v>45706</v>
      </c>
      <c r="C49" t="str">
        <f t="shared" si="1"/>
        <v>Tuesday</v>
      </c>
    </row>
    <row r="50" spans="1:3" x14ac:dyDescent="0.15">
      <c r="A50" s="1" t="str">
        <f t="shared" ref="A50:A113" si="3">TEXT(B50,"mmm-yy")</f>
        <v>Feb-25</v>
      </c>
      <c r="B50" s="2">
        <f t="shared" si="2"/>
        <v>45707</v>
      </c>
      <c r="C50" t="str">
        <f t="shared" ref="C50:C113" si="4">IF(WEEKDAY(B50,1)=1,"Sunday",IF(WEEKDAY(B50,1)=2,"Monday",IF(WEEKDAY(B50,1)=3,"Tuesday",IF(WEEKDAY(B50,1)=4,"Wednesday",IF(WEEKDAY(B50,1)=5,"Thursday",IF(WEEKDAY(B50,1)=6,"Friday",IF(WEEKDAY(B50,1)=7,"Saturday")))))))</f>
        <v>Wednesday</v>
      </c>
    </row>
    <row r="51" spans="1:3" x14ac:dyDescent="0.15">
      <c r="A51" s="1" t="str">
        <f t="shared" si="3"/>
        <v>Feb-25</v>
      </c>
      <c r="B51" s="2">
        <f t="shared" si="2"/>
        <v>45708</v>
      </c>
      <c r="C51" t="str">
        <f t="shared" si="4"/>
        <v>Thursday</v>
      </c>
    </row>
    <row r="52" spans="1:3" x14ac:dyDescent="0.15">
      <c r="A52" s="1" t="str">
        <f t="shared" si="3"/>
        <v>Feb-25</v>
      </c>
      <c r="B52" s="2">
        <f t="shared" si="2"/>
        <v>45709</v>
      </c>
      <c r="C52" t="str">
        <f t="shared" si="4"/>
        <v>Friday</v>
      </c>
    </row>
    <row r="53" spans="1:3" x14ac:dyDescent="0.15">
      <c r="A53" s="1" t="str">
        <f t="shared" si="3"/>
        <v>Feb-25</v>
      </c>
      <c r="B53" s="2">
        <f t="shared" si="2"/>
        <v>45710</v>
      </c>
      <c r="C53" t="str">
        <f t="shared" si="4"/>
        <v>Saturday</v>
      </c>
    </row>
    <row r="54" spans="1:3" x14ac:dyDescent="0.15">
      <c r="A54" s="1" t="str">
        <f t="shared" si="3"/>
        <v>Feb-25</v>
      </c>
      <c r="B54" s="2">
        <f t="shared" si="2"/>
        <v>45711</v>
      </c>
      <c r="C54" t="str">
        <f t="shared" si="4"/>
        <v>Sunday</v>
      </c>
    </row>
    <row r="55" spans="1:3" x14ac:dyDescent="0.15">
      <c r="A55" s="1" t="str">
        <f t="shared" si="3"/>
        <v>Feb-25</v>
      </c>
      <c r="B55" s="2">
        <f t="shared" si="2"/>
        <v>45712</v>
      </c>
      <c r="C55" t="str">
        <f t="shared" si="4"/>
        <v>Monday</v>
      </c>
    </row>
    <row r="56" spans="1:3" x14ac:dyDescent="0.15">
      <c r="A56" s="1" t="str">
        <f t="shared" si="3"/>
        <v>Feb-25</v>
      </c>
      <c r="B56" s="2">
        <f t="shared" si="2"/>
        <v>45713</v>
      </c>
      <c r="C56" t="str">
        <f t="shared" si="4"/>
        <v>Tuesday</v>
      </c>
    </row>
    <row r="57" spans="1:3" x14ac:dyDescent="0.15">
      <c r="A57" s="1" t="str">
        <f t="shared" si="3"/>
        <v>Feb-25</v>
      </c>
      <c r="B57" s="2">
        <f t="shared" si="2"/>
        <v>45714</v>
      </c>
      <c r="C57" t="str">
        <f t="shared" si="4"/>
        <v>Wednesday</v>
      </c>
    </row>
    <row r="58" spans="1:3" x14ac:dyDescent="0.15">
      <c r="A58" s="1" t="str">
        <f t="shared" si="3"/>
        <v>Feb-25</v>
      </c>
      <c r="B58" s="2">
        <f t="shared" si="2"/>
        <v>45715</v>
      </c>
      <c r="C58" t="str">
        <f t="shared" si="4"/>
        <v>Thursday</v>
      </c>
    </row>
    <row r="59" spans="1:3" x14ac:dyDescent="0.15">
      <c r="A59" s="1" t="str">
        <f t="shared" si="3"/>
        <v>Feb-25</v>
      </c>
      <c r="B59" s="2">
        <f t="shared" si="2"/>
        <v>45716</v>
      </c>
      <c r="C59" t="str">
        <f t="shared" si="4"/>
        <v>Friday</v>
      </c>
    </row>
    <row r="60" spans="1:3" x14ac:dyDescent="0.15">
      <c r="A60" s="1" t="str">
        <f t="shared" si="3"/>
        <v>Mar-25</v>
      </c>
      <c r="B60" s="2">
        <f t="shared" si="2"/>
        <v>45717</v>
      </c>
      <c r="C60" t="str">
        <f t="shared" si="4"/>
        <v>Saturday</v>
      </c>
    </row>
    <row r="61" spans="1:3" x14ac:dyDescent="0.15">
      <c r="A61" s="1" t="str">
        <f t="shared" si="3"/>
        <v>Mar-25</v>
      </c>
      <c r="B61" s="2">
        <f t="shared" si="2"/>
        <v>45718</v>
      </c>
      <c r="C61" t="str">
        <f t="shared" si="4"/>
        <v>Sunday</v>
      </c>
    </row>
    <row r="62" spans="1:3" x14ac:dyDescent="0.15">
      <c r="A62" s="1" t="str">
        <f t="shared" si="3"/>
        <v>Mar-25</v>
      </c>
      <c r="B62" s="2">
        <f t="shared" si="2"/>
        <v>45719</v>
      </c>
      <c r="C62" t="str">
        <f t="shared" si="4"/>
        <v>Monday</v>
      </c>
    </row>
    <row r="63" spans="1:3" x14ac:dyDescent="0.15">
      <c r="A63" s="1" t="str">
        <f t="shared" si="3"/>
        <v>Mar-25</v>
      </c>
      <c r="B63" s="2">
        <f t="shared" si="2"/>
        <v>45720</v>
      </c>
      <c r="C63" t="str">
        <f t="shared" si="4"/>
        <v>Tuesday</v>
      </c>
    </row>
    <row r="64" spans="1:3" x14ac:dyDescent="0.15">
      <c r="A64" s="1" t="str">
        <f t="shared" si="3"/>
        <v>Mar-25</v>
      </c>
      <c r="B64" s="2">
        <f t="shared" si="2"/>
        <v>45721</v>
      </c>
      <c r="C64" t="str">
        <f t="shared" si="4"/>
        <v>Wednesday</v>
      </c>
    </row>
    <row r="65" spans="1:3" x14ac:dyDescent="0.15">
      <c r="A65" s="1" t="str">
        <f t="shared" si="3"/>
        <v>Mar-25</v>
      </c>
      <c r="B65" s="2">
        <f t="shared" si="2"/>
        <v>45722</v>
      </c>
      <c r="C65" t="str">
        <f t="shared" si="4"/>
        <v>Thursday</v>
      </c>
    </row>
    <row r="66" spans="1:3" x14ac:dyDescent="0.15">
      <c r="A66" s="1" t="str">
        <f t="shared" si="3"/>
        <v>Mar-25</v>
      </c>
      <c r="B66" s="2">
        <f t="shared" si="2"/>
        <v>45723</v>
      </c>
      <c r="C66" t="str">
        <f t="shared" si="4"/>
        <v>Friday</v>
      </c>
    </row>
    <row r="67" spans="1:3" x14ac:dyDescent="0.15">
      <c r="A67" s="1" t="str">
        <f t="shared" si="3"/>
        <v>Mar-25</v>
      </c>
      <c r="B67" s="2">
        <f t="shared" ref="B67:B130" si="5">B66+1</f>
        <v>45724</v>
      </c>
      <c r="C67" t="str">
        <f t="shared" si="4"/>
        <v>Saturday</v>
      </c>
    </row>
    <row r="68" spans="1:3" x14ac:dyDescent="0.15">
      <c r="A68" s="1" t="str">
        <f t="shared" si="3"/>
        <v>Mar-25</v>
      </c>
      <c r="B68" s="2">
        <f t="shared" si="5"/>
        <v>45725</v>
      </c>
      <c r="C68" t="str">
        <f t="shared" si="4"/>
        <v>Sunday</v>
      </c>
    </row>
    <row r="69" spans="1:3" x14ac:dyDescent="0.15">
      <c r="A69" s="1" t="str">
        <f t="shared" si="3"/>
        <v>Mar-25</v>
      </c>
      <c r="B69" s="2">
        <f t="shared" si="5"/>
        <v>45726</v>
      </c>
      <c r="C69" t="str">
        <f t="shared" si="4"/>
        <v>Monday</v>
      </c>
    </row>
    <row r="70" spans="1:3" x14ac:dyDescent="0.15">
      <c r="A70" s="1" t="str">
        <f t="shared" si="3"/>
        <v>Mar-25</v>
      </c>
      <c r="B70" s="2">
        <f t="shared" si="5"/>
        <v>45727</v>
      </c>
      <c r="C70" t="str">
        <f t="shared" si="4"/>
        <v>Tuesday</v>
      </c>
    </row>
    <row r="71" spans="1:3" x14ac:dyDescent="0.15">
      <c r="A71" s="1" t="str">
        <f t="shared" si="3"/>
        <v>Mar-25</v>
      </c>
      <c r="B71" s="2">
        <f t="shared" si="5"/>
        <v>45728</v>
      </c>
      <c r="C71" t="str">
        <f t="shared" si="4"/>
        <v>Wednesday</v>
      </c>
    </row>
    <row r="72" spans="1:3" x14ac:dyDescent="0.15">
      <c r="A72" s="1" t="str">
        <f t="shared" si="3"/>
        <v>Mar-25</v>
      </c>
      <c r="B72" s="2">
        <f t="shared" si="5"/>
        <v>45729</v>
      </c>
      <c r="C72" t="str">
        <f t="shared" si="4"/>
        <v>Thursday</v>
      </c>
    </row>
    <row r="73" spans="1:3" x14ac:dyDescent="0.15">
      <c r="A73" s="1" t="str">
        <f t="shared" si="3"/>
        <v>Mar-25</v>
      </c>
      <c r="B73" s="2">
        <f t="shared" si="5"/>
        <v>45730</v>
      </c>
      <c r="C73" t="str">
        <f t="shared" si="4"/>
        <v>Friday</v>
      </c>
    </row>
    <row r="74" spans="1:3" x14ac:dyDescent="0.15">
      <c r="A74" s="1" t="str">
        <f t="shared" si="3"/>
        <v>Mar-25</v>
      </c>
      <c r="B74" s="2">
        <f t="shared" si="5"/>
        <v>45731</v>
      </c>
      <c r="C74" t="str">
        <f t="shared" si="4"/>
        <v>Saturday</v>
      </c>
    </row>
    <row r="75" spans="1:3" x14ac:dyDescent="0.15">
      <c r="A75" s="1" t="str">
        <f t="shared" si="3"/>
        <v>Mar-25</v>
      </c>
      <c r="B75" s="2">
        <f t="shared" si="5"/>
        <v>45732</v>
      </c>
      <c r="C75" t="str">
        <f t="shared" si="4"/>
        <v>Sunday</v>
      </c>
    </row>
    <row r="76" spans="1:3" x14ac:dyDescent="0.15">
      <c r="A76" s="1" t="str">
        <f t="shared" si="3"/>
        <v>Mar-25</v>
      </c>
      <c r="B76" s="2">
        <f t="shared" si="5"/>
        <v>45733</v>
      </c>
      <c r="C76" t="str">
        <f t="shared" si="4"/>
        <v>Monday</v>
      </c>
    </row>
    <row r="77" spans="1:3" x14ac:dyDescent="0.15">
      <c r="A77" s="1" t="str">
        <f t="shared" si="3"/>
        <v>Mar-25</v>
      </c>
      <c r="B77" s="2">
        <f t="shared" si="5"/>
        <v>45734</v>
      </c>
      <c r="C77" t="str">
        <f t="shared" si="4"/>
        <v>Tuesday</v>
      </c>
    </row>
    <row r="78" spans="1:3" x14ac:dyDescent="0.15">
      <c r="A78" s="1" t="str">
        <f t="shared" si="3"/>
        <v>Mar-25</v>
      </c>
      <c r="B78" s="2">
        <f t="shared" si="5"/>
        <v>45735</v>
      </c>
      <c r="C78" t="str">
        <f t="shared" si="4"/>
        <v>Wednesday</v>
      </c>
    </row>
    <row r="79" spans="1:3" x14ac:dyDescent="0.15">
      <c r="A79" s="1" t="str">
        <f t="shared" si="3"/>
        <v>Mar-25</v>
      </c>
      <c r="B79" s="2">
        <f t="shared" si="5"/>
        <v>45736</v>
      </c>
      <c r="C79" t="str">
        <f t="shared" si="4"/>
        <v>Thursday</v>
      </c>
    </row>
    <row r="80" spans="1:3" x14ac:dyDescent="0.15">
      <c r="A80" s="1" t="str">
        <f t="shared" si="3"/>
        <v>Mar-25</v>
      </c>
      <c r="B80" s="2">
        <f t="shared" si="5"/>
        <v>45737</v>
      </c>
      <c r="C80" t="str">
        <f t="shared" si="4"/>
        <v>Friday</v>
      </c>
    </row>
    <row r="81" spans="1:3" x14ac:dyDescent="0.15">
      <c r="A81" s="1" t="str">
        <f t="shared" si="3"/>
        <v>Mar-25</v>
      </c>
      <c r="B81" s="2">
        <f t="shared" si="5"/>
        <v>45738</v>
      </c>
      <c r="C81" t="str">
        <f t="shared" si="4"/>
        <v>Saturday</v>
      </c>
    </row>
    <row r="82" spans="1:3" x14ac:dyDescent="0.15">
      <c r="A82" s="1" t="str">
        <f t="shared" si="3"/>
        <v>Mar-25</v>
      </c>
      <c r="B82" s="2">
        <f t="shared" si="5"/>
        <v>45739</v>
      </c>
      <c r="C82" t="str">
        <f t="shared" si="4"/>
        <v>Sunday</v>
      </c>
    </row>
    <row r="83" spans="1:3" x14ac:dyDescent="0.15">
      <c r="A83" s="1" t="str">
        <f t="shared" si="3"/>
        <v>Mar-25</v>
      </c>
      <c r="B83" s="2">
        <f t="shared" si="5"/>
        <v>45740</v>
      </c>
      <c r="C83" t="str">
        <f t="shared" si="4"/>
        <v>Monday</v>
      </c>
    </row>
    <row r="84" spans="1:3" x14ac:dyDescent="0.15">
      <c r="A84" s="1" t="str">
        <f t="shared" si="3"/>
        <v>Mar-25</v>
      </c>
      <c r="B84" s="2">
        <f t="shared" si="5"/>
        <v>45741</v>
      </c>
      <c r="C84" t="str">
        <f t="shared" si="4"/>
        <v>Tuesday</v>
      </c>
    </row>
    <row r="85" spans="1:3" x14ac:dyDescent="0.15">
      <c r="A85" s="1" t="str">
        <f t="shared" si="3"/>
        <v>Mar-25</v>
      </c>
      <c r="B85" s="2">
        <f t="shared" si="5"/>
        <v>45742</v>
      </c>
      <c r="C85" t="str">
        <f t="shared" si="4"/>
        <v>Wednesday</v>
      </c>
    </row>
    <row r="86" spans="1:3" x14ac:dyDescent="0.15">
      <c r="A86" s="1" t="str">
        <f t="shared" si="3"/>
        <v>Mar-25</v>
      </c>
      <c r="B86" s="2">
        <f t="shared" si="5"/>
        <v>45743</v>
      </c>
      <c r="C86" t="str">
        <f t="shared" si="4"/>
        <v>Thursday</v>
      </c>
    </row>
    <row r="87" spans="1:3" x14ac:dyDescent="0.15">
      <c r="A87" s="1" t="str">
        <f t="shared" si="3"/>
        <v>Mar-25</v>
      </c>
      <c r="B87" s="2">
        <f t="shared" si="5"/>
        <v>45744</v>
      </c>
      <c r="C87" t="str">
        <f t="shared" si="4"/>
        <v>Friday</v>
      </c>
    </row>
    <row r="88" spans="1:3" x14ac:dyDescent="0.15">
      <c r="A88" s="1" t="str">
        <f t="shared" si="3"/>
        <v>Mar-25</v>
      </c>
      <c r="B88" s="2">
        <f t="shared" si="5"/>
        <v>45745</v>
      </c>
      <c r="C88" t="str">
        <f t="shared" si="4"/>
        <v>Saturday</v>
      </c>
    </row>
    <row r="89" spans="1:3" x14ac:dyDescent="0.15">
      <c r="A89" s="1" t="str">
        <f t="shared" si="3"/>
        <v>Mar-25</v>
      </c>
      <c r="B89" s="2">
        <f t="shared" si="5"/>
        <v>45746</v>
      </c>
      <c r="C89" t="str">
        <f t="shared" si="4"/>
        <v>Sunday</v>
      </c>
    </row>
    <row r="90" spans="1:3" x14ac:dyDescent="0.15">
      <c r="A90" s="1" t="str">
        <f t="shared" si="3"/>
        <v>Mar-25</v>
      </c>
      <c r="B90" s="2">
        <f t="shared" si="5"/>
        <v>45747</v>
      </c>
      <c r="C90" t="str">
        <f t="shared" si="4"/>
        <v>Monday</v>
      </c>
    </row>
    <row r="91" spans="1:3" x14ac:dyDescent="0.15">
      <c r="A91" s="1" t="str">
        <f t="shared" si="3"/>
        <v>Apr-25</v>
      </c>
      <c r="B91" s="2">
        <f t="shared" si="5"/>
        <v>45748</v>
      </c>
      <c r="C91" t="str">
        <f t="shared" si="4"/>
        <v>Tuesday</v>
      </c>
    </row>
    <row r="92" spans="1:3" x14ac:dyDescent="0.15">
      <c r="A92" s="1" t="str">
        <f t="shared" si="3"/>
        <v>Apr-25</v>
      </c>
      <c r="B92" s="2">
        <f t="shared" si="5"/>
        <v>45749</v>
      </c>
      <c r="C92" t="str">
        <f t="shared" si="4"/>
        <v>Wednesday</v>
      </c>
    </row>
    <row r="93" spans="1:3" x14ac:dyDescent="0.15">
      <c r="A93" s="1" t="str">
        <f t="shared" si="3"/>
        <v>Apr-25</v>
      </c>
      <c r="B93" s="2">
        <f t="shared" si="5"/>
        <v>45750</v>
      </c>
      <c r="C93" t="str">
        <f t="shared" si="4"/>
        <v>Thursday</v>
      </c>
    </row>
    <row r="94" spans="1:3" x14ac:dyDescent="0.15">
      <c r="A94" s="1" t="str">
        <f t="shared" si="3"/>
        <v>Apr-25</v>
      </c>
      <c r="B94" s="2">
        <f t="shared" si="5"/>
        <v>45751</v>
      </c>
      <c r="C94" t="str">
        <f t="shared" si="4"/>
        <v>Friday</v>
      </c>
    </row>
    <row r="95" spans="1:3" x14ac:dyDescent="0.15">
      <c r="A95" s="1" t="str">
        <f t="shared" si="3"/>
        <v>Apr-25</v>
      </c>
      <c r="B95" s="2">
        <f t="shared" si="5"/>
        <v>45752</v>
      </c>
      <c r="C95" t="str">
        <f t="shared" si="4"/>
        <v>Saturday</v>
      </c>
    </row>
    <row r="96" spans="1:3" x14ac:dyDescent="0.15">
      <c r="A96" s="1" t="str">
        <f t="shared" si="3"/>
        <v>Apr-25</v>
      </c>
      <c r="B96" s="2">
        <f t="shared" si="5"/>
        <v>45753</v>
      </c>
      <c r="C96" t="str">
        <f t="shared" si="4"/>
        <v>Sunday</v>
      </c>
    </row>
    <row r="97" spans="1:3" x14ac:dyDescent="0.15">
      <c r="A97" s="1" t="str">
        <f t="shared" si="3"/>
        <v>Apr-25</v>
      </c>
      <c r="B97" s="2">
        <f t="shared" si="5"/>
        <v>45754</v>
      </c>
      <c r="C97" t="str">
        <f t="shared" si="4"/>
        <v>Monday</v>
      </c>
    </row>
    <row r="98" spans="1:3" x14ac:dyDescent="0.15">
      <c r="A98" s="1" t="str">
        <f t="shared" si="3"/>
        <v>Apr-25</v>
      </c>
      <c r="B98" s="2">
        <f t="shared" si="5"/>
        <v>45755</v>
      </c>
      <c r="C98" t="str">
        <f t="shared" si="4"/>
        <v>Tuesday</v>
      </c>
    </row>
    <row r="99" spans="1:3" x14ac:dyDescent="0.15">
      <c r="A99" s="1" t="str">
        <f t="shared" si="3"/>
        <v>Apr-25</v>
      </c>
      <c r="B99" s="2">
        <f t="shared" si="5"/>
        <v>45756</v>
      </c>
      <c r="C99" t="str">
        <f t="shared" si="4"/>
        <v>Wednesday</v>
      </c>
    </row>
    <row r="100" spans="1:3" x14ac:dyDescent="0.15">
      <c r="A100" s="1" t="str">
        <f t="shared" si="3"/>
        <v>Apr-25</v>
      </c>
      <c r="B100" s="2">
        <f t="shared" si="5"/>
        <v>45757</v>
      </c>
      <c r="C100" t="str">
        <f t="shared" si="4"/>
        <v>Thursday</v>
      </c>
    </row>
    <row r="101" spans="1:3" x14ac:dyDescent="0.15">
      <c r="A101" s="1" t="str">
        <f t="shared" si="3"/>
        <v>Apr-25</v>
      </c>
      <c r="B101" s="2">
        <f t="shared" si="5"/>
        <v>45758</v>
      </c>
      <c r="C101" t="str">
        <f t="shared" si="4"/>
        <v>Friday</v>
      </c>
    </row>
    <row r="102" spans="1:3" x14ac:dyDescent="0.15">
      <c r="A102" s="1" t="str">
        <f t="shared" si="3"/>
        <v>Apr-25</v>
      </c>
      <c r="B102" s="2">
        <f t="shared" si="5"/>
        <v>45759</v>
      </c>
      <c r="C102" t="str">
        <f t="shared" si="4"/>
        <v>Saturday</v>
      </c>
    </row>
    <row r="103" spans="1:3" x14ac:dyDescent="0.15">
      <c r="A103" s="1" t="str">
        <f t="shared" si="3"/>
        <v>Apr-25</v>
      </c>
      <c r="B103" s="2">
        <f t="shared" si="5"/>
        <v>45760</v>
      </c>
      <c r="C103" t="str">
        <f t="shared" si="4"/>
        <v>Sunday</v>
      </c>
    </row>
    <row r="104" spans="1:3" x14ac:dyDescent="0.15">
      <c r="A104" s="1" t="str">
        <f t="shared" si="3"/>
        <v>Apr-25</v>
      </c>
      <c r="B104" s="2">
        <f t="shared" si="5"/>
        <v>45761</v>
      </c>
      <c r="C104" t="str">
        <f t="shared" si="4"/>
        <v>Monday</v>
      </c>
    </row>
    <row r="105" spans="1:3" x14ac:dyDescent="0.15">
      <c r="A105" s="1" t="str">
        <f t="shared" si="3"/>
        <v>Apr-25</v>
      </c>
      <c r="B105" s="2">
        <f t="shared" si="5"/>
        <v>45762</v>
      </c>
      <c r="C105" t="str">
        <f t="shared" si="4"/>
        <v>Tuesday</v>
      </c>
    </row>
    <row r="106" spans="1:3" x14ac:dyDescent="0.15">
      <c r="A106" s="1" t="str">
        <f t="shared" si="3"/>
        <v>Apr-25</v>
      </c>
      <c r="B106" s="2">
        <f t="shared" si="5"/>
        <v>45763</v>
      </c>
      <c r="C106" t="str">
        <f t="shared" si="4"/>
        <v>Wednesday</v>
      </c>
    </row>
    <row r="107" spans="1:3" x14ac:dyDescent="0.15">
      <c r="A107" s="1" t="str">
        <f t="shared" si="3"/>
        <v>Apr-25</v>
      </c>
      <c r="B107" s="2">
        <f t="shared" si="5"/>
        <v>45764</v>
      </c>
      <c r="C107" t="str">
        <f t="shared" si="4"/>
        <v>Thursday</v>
      </c>
    </row>
    <row r="108" spans="1:3" x14ac:dyDescent="0.15">
      <c r="A108" s="1" t="str">
        <f t="shared" si="3"/>
        <v>Apr-25</v>
      </c>
      <c r="B108" s="2">
        <f t="shared" si="5"/>
        <v>45765</v>
      </c>
      <c r="C108" t="str">
        <f t="shared" si="4"/>
        <v>Friday</v>
      </c>
    </row>
    <row r="109" spans="1:3" x14ac:dyDescent="0.15">
      <c r="A109" s="1" t="str">
        <f t="shared" si="3"/>
        <v>Apr-25</v>
      </c>
      <c r="B109" s="2">
        <f t="shared" si="5"/>
        <v>45766</v>
      </c>
      <c r="C109" t="str">
        <f t="shared" si="4"/>
        <v>Saturday</v>
      </c>
    </row>
    <row r="110" spans="1:3" x14ac:dyDescent="0.15">
      <c r="A110" s="1" t="str">
        <f t="shared" si="3"/>
        <v>Apr-25</v>
      </c>
      <c r="B110" s="2">
        <f t="shared" si="5"/>
        <v>45767</v>
      </c>
      <c r="C110" t="str">
        <f t="shared" si="4"/>
        <v>Sunday</v>
      </c>
    </row>
    <row r="111" spans="1:3" x14ac:dyDescent="0.15">
      <c r="A111" s="1" t="str">
        <f t="shared" si="3"/>
        <v>Apr-25</v>
      </c>
      <c r="B111" s="2">
        <f t="shared" si="5"/>
        <v>45768</v>
      </c>
      <c r="C111" t="str">
        <f t="shared" si="4"/>
        <v>Monday</v>
      </c>
    </row>
    <row r="112" spans="1:3" x14ac:dyDescent="0.15">
      <c r="A112" s="1" t="str">
        <f t="shared" si="3"/>
        <v>Apr-25</v>
      </c>
      <c r="B112" s="2">
        <f t="shared" si="5"/>
        <v>45769</v>
      </c>
      <c r="C112" t="str">
        <f t="shared" si="4"/>
        <v>Tuesday</v>
      </c>
    </row>
    <row r="113" spans="1:3" x14ac:dyDescent="0.15">
      <c r="A113" s="1" t="str">
        <f t="shared" si="3"/>
        <v>Apr-25</v>
      </c>
      <c r="B113" s="2">
        <f t="shared" si="5"/>
        <v>45770</v>
      </c>
      <c r="C113" t="str">
        <f t="shared" si="4"/>
        <v>Wednesday</v>
      </c>
    </row>
    <row r="114" spans="1:3" x14ac:dyDescent="0.15">
      <c r="A114" s="1" t="str">
        <f t="shared" ref="A114:A177" si="6">TEXT(B114,"mmm-yy")</f>
        <v>Apr-25</v>
      </c>
      <c r="B114" s="2">
        <f t="shared" si="5"/>
        <v>45771</v>
      </c>
      <c r="C114" t="str">
        <f t="shared" ref="C114:C177" si="7">IF(WEEKDAY(B114,1)=1,"Sunday",IF(WEEKDAY(B114,1)=2,"Monday",IF(WEEKDAY(B114,1)=3,"Tuesday",IF(WEEKDAY(B114,1)=4,"Wednesday",IF(WEEKDAY(B114,1)=5,"Thursday",IF(WEEKDAY(B114,1)=6,"Friday",IF(WEEKDAY(B114,1)=7,"Saturday")))))))</f>
        <v>Thursday</v>
      </c>
    </row>
    <row r="115" spans="1:3" x14ac:dyDescent="0.15">
      <c r="A115" s="1" t="str">
        <f t="shared" si="6"/>
        <v>Apr-25</v>
      </c>
      <c r="B115" s="2">
        <f t="shared" si="5"/>
        <v>45772</v>
      </c>
      <c r="C115" t="str">
        <f t="shared" si="7"/>
        <v>Friday</v>
      </c>
    </row>
    <row r="116" spans="1:3" x14ac:dyDescent="0.15">
      <c r="A116" s="1" t="str">
        <f t="shared" si="6"/>
        <v>Apr-25</v>
      </c>
      <c r="B116" s="2">
        <f t="shared" si="5"/>
        <v>45773</v>
      </c>
      <c r="C116" t="str">
        <f t="shared" si="7"/>
        <v>Saturday</v>
      </c>
    </row>
    <row r="117" spans="1:3" x14ac:dyDescent="0.15">
      <c r="A117" s="1" t="str">
        <f t="shared" si="6"/>
        <v>Apr-25</v>
      </c>
      <c r="B117" s="2">
        <f t="shared" si="5"/>
        <v>45774</v>
      </c>
      <c r="C117" t="str">
        <f t="shared" si="7"/>
        <v>Sunday</v>
      </c>
    </row>
    <row r="118" spans="1:3" x14ac:dyDescent="0.15">
      <c r="A118" s="1" t="str">
        <f t="shared" si="6"/>
        <v>Apr-25</v>
      </c>
      <c r="B118" s="2">
        <f t="shared" si="5"/>
        <v>45775</v>
      </c>
      <c r="C118" t="str">
        <f t="shared" si="7"/>
        <v>Monday</v>
      </c>
    </row>
    <row r="119" spans="1:3" x14ac:dyDescent="0.15">
      <c r="A119" s="1" t="str">
        <f t="shared" si="6"/>
        <v>Apr-25</v>
      </c>
      <c r="B119" s="2">
        <f t="shared" si="5"/>
        <v>45776</v>
      </c>
      <c r="C119" t="str">
        <f t="shared" si="7"/>
        <v>Tuesday</v>
      </c>
    </row>
    <row r="120" spans="1:3" x14ac:dyDescent="0.15">
      <c r="A120" s="1" t="str">
        <f t="shared" si="6"/>
        <v>Apr-25</v>
      </c>
      <c r="B120" s="2">
        <f t="shared" si="5"/>
        <v>45777</v>
      </c>
      <c r="C120" t="str">
        <f t="shared" si="7"/>
        <v>Wednesday</v>
      </c>
    </row>
    <row r="121" spans="1:3" x14ac:dyDescent="0.15">
      <c r="A121" s="1" t="str">
        <f t="shared" si="6"/>
        <v>May-25</v>
      </c>
      <c r="B121" s="2">
        <f t="shared" si="5"/>
        <v>45778</v>
      </c>
      <c r="C121" t="str">
        <f t="shared" si="7"/>
        <v>Thursday</v>
      </c>
    </row>
    <row r="122" spans="1:3" x14ac:dyDescent="0.15">
      <c r="A122" s="1" t="str">
        <f t="shared" si="6"/>
        <v>May-25</v>
      </c>
      <c r="B122" s="2">
        <f t="shared" si="5"/>
        <v>45779</v>
      </c>
      <c r="C122" t="str">
        <f t="shared" si="7"/>
        <v>Friday</v>
      </c>
    </row>
    <row r="123" spans="1:3" x14ac:dyDescent="0.15">
      <c r="A123" s="1" t="str">
        <f t="shared" si="6"/>
        <v>May-25</v>
      </c>
      <c r="B123" s="2">
        <f t="shared" si="5"/>
        <v>45780</v>
      </c>
      <c r="C123" t="str">
        <f t="shared" si="7"/>
        <v>Saturday</v>
      </c>
    </row>
    <row r="124" spans="1:3" x14ac:dyDescent="0.15">
      <c r="A124" s="1" t="str">
        <f t="shared" si="6"/>
        <v>May-25</v>
      </c>
      <c r="B124" s="2">
        <f t="shared" si="5"/>
        <v>45781</v>
      </c>
      <c r="C124" t="str">
        <f t="shared" si="7"/>
        <v>Sunday</v>
      </c>
    </row>
    <row r="125" spans="1:3" x14ac:dyDescent="0.15">
      <c r="A125" s="1" t="str">
        <f t="shared" si="6"/>
        <v>May-25</v>
      </c>
      <c r="B125" s="2">
        <f t="shared" si="5"/>
        <v>45782</v>
      </c>
      <c r="C125" t="str">
        <f t="shared" si="7"/>
        <v>Monday</v>
      </c>
    </row>
    <row r="126" spans="1:3" x14ac:dyDescent="0.15">
      <c r="A126" s="1" t="str">
        <f t="shared" si="6"/>
        <v>May-25</v>
      </c>
      <c r="B126" s="2">
        <f t="shared" si="5"/>
        <v>45783</v>
      </c>
      <c r="C126" t="str">
        <f t="shared" si="7"/>
        <v>Tuesday</v>
      </c>
    </row>
    <row r="127" spans="1:3" x14ac:dyDescent="0.15">
      <c r="A127" s="1" t="str">
        <f t="shared" si="6"/>
        <v>May-25</v>
      </c>
      <c r="B127" s="2">
        <f t="shared" si="5"/>
        <v>45784</v>
      </c>
      <c r="C127" t="str">
        <f t="shared" si="7"/>
        <v>Wednesday</v>
      </c>
    </row>
    <row r="128" spans="1:3" x14ac:dyDescent="0.15">
      <c r="A128" s="1" t="str">
        <f t="shared" si="6"/>
        <v>May-25</v>
      </c>
      <c r="B128" s="2">
        <f t="shared" si="5"/>
        <v>45785</v>
      </c>
      <c r="C128" t="str">
        <f t="shared" si="7"/>
        <v>Thursday</v>
      </c>
    </row>
    <row r="129" spans="1:3" x14ac:dyDescent="0.15">
      <c r="A129" s="1" t="str">
        <f t="shared" si="6"/>
        <v>May-25</v>
      </c>
      <c r="B129" s="2">
        <f t="shared" si="5"/>
        <v>45786</v>
      </c>
      <c r="C129" t="str">
        <f t="shared" si="7"/>
        <v>Friday</v>
      </c>
    </row>
    <row r="130" spans="1:3" x14ac:dyDescent="0.15">
      <c r="A130" s="1" t="str">
        <f t="shared" si="6"/>
        <v>May-25</v>
      </c>
      <c r="B130" s="2">
        <f t="shared" si="5"/>
        <v>45787</v>
      </c>
      <c r="C130" t="str">
        <f t="shared" si="7"/>
        <v>Saturday</v>
      </c>
    </row>
    <row r="131" spans="1:3" x14ac:dyDescent="0.15">
      <c r="A131" s="1" t="str">
        <f t="shared" si="6"/>
        <v>May-25</v>
      </c>
      <c r="B131" s="2">
        <f t="shared" ref="B131:B194" si="8">B130+1</f>
        <v>45788</v>
      </c>
      <c r="C131" t="str">
        <f t="shared" si="7"/>
        <v>Sunday</v>
      </c>
    </row>
    <row r="132" spans="1:3" x14ac:dyDescent="0.15">
      <c r="A132" s="1" t="str">
        <f t="shared" si="6"/>
        <v>May-25</v>
      </c>
      <c r="B132" s="2">
        <f t="shared" si="8"/>
        <v>45789</v>
      </c>
      <c r="C132" t="str">
        <f t="shared" si="7"/>
        <v>Monday</v>
      </c>
    </row>
    <row r="133" spans="1:3" x14ac:dyDescent="0.15">
      <c r="A133" s="1" t="str">
        <f t="shared" si="6"/>
        <v>May-25</v>
      </c>
      <c r="B133" s="2">
        <f t="shared" si="8"/>
        <v>45790</v>
      </c>
      <c r="C133" t="str">
        <f t="shared" si="7"/>
        <v>Tuesday</v>
      </c>
    </row>
    <row r="134" spans="1:3" x14ac:dyDescent="0.15">
      <c r="A134" s="1" t="str">
        <f t="shared" si="6"/>
        <v>May-25</v>
      </c>
      <c r="B134" s="2">
        <f t="shared" si="8"/>
        <v>45791</v>
      </c>
      <c r="C134" t="str">
        <f t="shared" si="7"/>
        <v>Wednesday</v>
      </c>
    </row>
    <row r="135" spans="1:3" x14ac:dyDescent="0.15">
      <c r="A135" s="1" t="str">
        <f t="shared" si="6"/>
        <v>May-25</v>
      </c>
      <c r="B135" s="2">
        <f t="shared" si="8"/>
        <v>45792</v>
      </c>
      <c r="C135" t="str">
        <f t="shared" si="7"/>
        <v>Thursday</v>
      </c>
    </row>
    <row r="136" spans="1:3" x14ac:dyDescent="0.15">
      <c r="A136" s="1" t="str">
        <f t="shared" si="6"/>
        <v>May-25</v>
      </c>
      <c r="B136" s="2">
        <f t="shared" si="8"/>
        <v>45793</v>
      </c>
      <c r="C136" t="str">
        <f t="shared" si="7"/>
        <v>Friday</v>
      </c>
    </row>
    <row r="137" spans="1:3" x14ac:dyDescent="0.15">
      <c r="A137" s="1" t="str">
        <f t="shared" si="6"/>
        <v>May-25</v>
      </c>
      <c r="B137" s="2">
        <f t="shared" si="8"/>
        <v>45794</v>
      </c>
      <c r="C137" t="str">
        <f t="shared" si="7"/>
        <v>Saturday</v>
      </c>
    </row>
    <row r="138" spans="1:3" x14ac:dyDescent="0.15">
      <c r="A138" s="1" t="str">
        <f t="shared" si="6"/>
        <v>May-25</v>
      </c>
      <c r="B138" s="2">
        <f t="shared" si="8"/>
        <v>45795</v>
      </c>
      <c r="C138" t="str">
        <f t="shared" si="7"/>
        <v>Sunday</v>
      </c>
    </row>
    <row r="139" spans="1:3" x14ac:dyDescent="0.15">
      <c r="A139" s="1" t="str">
        <f t="shared" si="6"/>
        <v>May-25</v>
      </c>
      <c r="B139" s="2">
        <f t="shared" si="8"/>
        <v>45796</v>
      </c>
      <c r="C139" t="str">
        <f t="shared" si="7"/>
        <v>Monday</v>
      </c>
    </row>
    <row r="140" spans="1:3" x14ac:dyDescent="0.15">
      <c r="A140" s="1" t="str">
        <f t="shared" si="6"/>
        <v>May-25</v>
      </c>
      <c r="B140" s="2">
        <f t="shared" si="8"/>
        <v>45797</v>
      </c>
      <c r="C140" t="str">
        <f t="shared" si="7"/>
        <v>Tuesday</v>
      </c>
    </row>
    <row r="141" spans="1:3" x14ac:dyDescent="0.15">
      <c r="A141" s="1" t="str">
        <f t="shared" si="6"/>
        <v>May-25</v>
      </c>
      <c r="B141" s="2">
        <f t="shared" si="8"/>
        <v>45798</v>
      </c>
      <c r="C141" t="str">
        <f t="shared" si="7"/>
        <v>Wednesday</v>
      </c>
    </row>
    <row r="142" spans="1:3" x14ac:dyDescent="0.15">
      <c r="A142" s="1" t="str">
        <f t="shared" si="6"/>
        <v>May-25</v>
      </c>
      <c r="B142" s="2">
        <f t="shared" si="8"/>
        <v>45799</v>
      </c>
      <c r="C142" t="str">
        <f t="shared" si="7"/>
        <v>Thursday</v>
      </c>
    </row>
    <row r="143" spans="1:3" x14ac:dyDescent="0.15">
      <c r="A143" s="1" t="str">
        <f t="shared" si="6"/>
        <v>May-25</v>
      </c>
      <c r="B143" s="2">
        <f t="shared" si="8"/>
        <v>45800</v>
      </c>
      <c r="C143" t="str">
        <f t="shared" si="7"/>
        <v>Friday</v>
      </c>
    </row>
    <row r="144" spans="1:3" x14ac:dyDescent="0.15">
      <c r="A144" s="1" t="str">
        <f t="shared" si="6"/>
        <v>May-25</v>
      </c>
      <c r="B144" s="2">
        <f t="shared" si="8"/>
        <v>45801</v>
      </c>
      <c r="C144" t="str">
        <f t="shared" si="7"/>
        <v>Saturday</v>
      </c>
    </row>
    <row r="145" spans="1:3" x14ac:dyDescent="0.15">
      <c r="A145" s="1" t="str">
        <f t="shared" si="6"/>
        <v>May-25</v>
      </c>
      <c r="B145" s="2">
        <f t="shared" si="8"/>
        <v>45802</v>
      </c>
      <c r="C145" t="str">
        <f t="shared" si="7"/>
        <v>Sunday</v>
      </c>
    </row>
    <row r="146" spans="1:3" x14ac:dyDescent="0.15">
      <c r="A146" s="1" t="str">
        <f t="shared" si="6"/>
        <v>May-25</v>
      </c>
      <c r="B146" s="2">
        <f t="shared" si="8"/>
        <v>45803</v>
      </c>
      <c r="C146" t="str">
        <f t="shared" si="7"/>
        <v>Monday</v>
      </c>
    </row>
    <row r="147" spans="1:3" x14ac:dyDescent="0.15">
      <c r="A147" s="1" t="str">
        <f t="shared" si="6"/>
        <v>May-25</v>
      </c>
      <c r="B147" s="2">
        <f t="shared" si="8"/>
        <v>45804</v>
      </c>
      <c r="C147" t="str">
        <f t="shared" si="7"/>
        <v>Tuesday</v>
      </c>
    </row>
    <row r="148" spans="1:3" x14ac:dyDescent="0.15">
      <c r="A148" s="1" t="str">
        <f t="shared" si="6"/>
        <v>May-25</v>
      </c>
      <c r="B148" s="2">
        <f t="shared" si="8"/>
        <v>45805</v>
      </c>
      <c r="C148" t="str">
        <f t="shared" si="7"/>
        <v>Wednesday</v>
      </c>
    </row>
    <row r="149" spans="1:3" x14ac:dyDescent="0.15">
      <c r="A149" s="1" t="str">
        <f t="shared" si="6"/>
        <v>May-25</v>
      </c>
      <c r="B149" s="2">
        <f t="shared" si="8"/>
        <v>45806</v>
      </c>
      <c r="C149" t="str">
        <f t="shared" si="7"/>
        <v>Thursday</v>
      </c>
    </row>
    <row r="150" spans="1:3" x14ac:dyDescent="0.15">
      <c r="A150" s="1" t="str">
        <f t="shared" si="6"/>
        <v>May-25</v>
      </c>
      <c r="B150" s="2">
        <f t="shared" si="8"/>
        <v>45807</v>
      </c>
      <c r="C150" t="str">
        <f t="shared" si="7"/>
        <v>Friday</v>
      </c>
    </row>
    <row r="151" spans="1:3" x14ac:dyDescent="0.15">
      <c r="A151" s="1" t="str">
        <f t="shared" si="6"/>
        <v>May-25</v>
      </c>
      <c r="B151" s="2">
        <f t="shared" si="8"/>
        <v>45808</v>
      </c>
      <c r="C151" t="str">
        <f t="shared" si="7"/>
        <v>Saturday</v>
      </c>
    </row>
    <row r="152" spans="1:3" x14ac:dyDescent="0.15">
      <c r="A152" s="1" t="str">
        <f t="shared" si="6"/>
        <v>Jun-25</v>
      </c>
      <c r="B152" s="2">
        <f t="shared" si="8"/>
        <v>45809</v>
      </c>
      <c r="C152" t="str">
        <f t="shared" si="7"/>
        <v>Sunday</v>
      </c>
    </row>
    <row r="153" spans="1:3" x14ac:dyDescent="0.15">
      <c r="A153" s="1" t="str">
        <f t="shared" si="6"/>
        <v>Jun-25</v>
      </c>
      <c r="B153" s="2">
        <f t="shared" si="8"/>
        <v>45810</v>
      </c>
      <c r="C153" t="str">
        <f t="shared" si="7"/>
        <v>Monday</v>
      </c>
    </row>
    <row r="154" spans="1:3" x14ac:dyDescent="0.15">
      <c r="A154" s="1" t="str">
        <f t="shared" si="6"/>
        <v>Jun-25</v>
      </c>
      <c r="B154" s="2">
        <f t="shared" si="8"/>
        <v>45811</v>
      </c>
      <c r="C154" t="str">
        <f t="shared" si="7"/>
        <v>Tuesday</v>
      </c>
    </row>
    <row r="155" spans="1:3" x14ac:dyDescent="0.15">
      <c r="A155" s="1" t="str">
        <f t="shared" si="6"/>
        <v>Jun-25</v>
      </c>
      <c r="B155" s="2">
        <f t="shared" si="8"/>
        <v>45812</v>
      </c>
      <c r="C155" t="str">
        <f t="shared" si="7"/>
        <v>Wednesday</v>
      </c>
    </row>
    <row r="156" spans="1:3" x14ac:dyDescent="0.15">
      <c r="A156" s="1" t="str">
        <f t="shared" si="6"/>
        <v>Jun-25</v>
      </c>
      <c r="B156" s="2">
        <f t="shared" si="8"/>
        <v>45813</v>
      </c>
      <c r="C156" t="str">
        <f t="shared" si="7"/>
        <v>Thursday</v>
      </c>
    </row>
    <row r="157" spans="1:3" x14ac:dyDescent="0.15">
      <c r="A157" s="1" t="str">
        <f t="shared" si="6"/>
        <v>Jun-25</v>
      </c>
      <c r="B157" s="2">
        <f t="shared" si="8"/>
        <v>45814</v>
      </c>
      <c r="C157" t="str">
        <f t="shared" si="7"/>
        <v>Friday</v>
      </c>
    </row>
    <row r="158" spans="1:3" x14ac:dyDescent="0.15">
      <c r="A158" s="1" t="str">
        <f t="shared" si="6"/>
        <v>Jun-25</v>
      </c>
      <c r="B158" s="2">
        <f t="shared" si="8"/>
        <v>45815</v>
      </c>
      <c r="C158" t="str">
        <f t="shared" si="7"/>
        <v>Saturday</v>
      </c>
    </row>
    <row r="159" spans="1:3" x14ac:dyDescent="0.15">
      <c r="A159" s="1" t="str">
        <f t="shared" si="6"/>
        <v>Jun-25</v>
      </c>
      <c r="B159" s="2">
        <f t="shared" si="8"/>
        <v>45816</v>
      </c>
      <c r="C159" t="str">
        <f t="shared" si="7"/>
        <v>Sunday</v>
      </c>
    </row>
    <row r="160" spans="1:3" x14ac:dyDescent="0.15">
      <c r="A160" s="1" t="str">
        <f t="shared" si="6"/>
        <v>Jun-25</v>
      </c>
      <c r="B160" s="2">
        <f t="shared" si="8"/>
        <v>45817</v>
      </c>
      <c r="C160" t="str">
        <f t="shared" si="7"/>
        <v>Monday</v>
      </c>
    </row>
    <row r="161" spans="1:3" x14ac:dyDescent="0.15">
      <c r="A161" s="1" t="str">
        <f t="shared" si="6"/>
        <v>Jun-25</v>
      </c>
      <c r="B161" s="2">
        <f t="shared" si="8"/>
        <v>45818</v>
      </c>
      <c r="C161" t="str">
        <f t="shared" si="7"/>
        <v>Tuesday</v>
      </c>
    </row>
    <row r="162" spans="1:3" x14ac:dyDescent="0.15">
      <c r="A162" s="1" t="str">
        <f t="shared" si="6"/>
        <v>Jun-25</v>
      </c>
      <c r="B162" s="2">
        <f t="shared" si="8"/>
        <v>45819</v>
      </c>
      <c r="C162" t="str">
        <f t="shared" si="7"/>
        <v>Wednesday</v>
      </c>
    </row>
    <row r="163" spans="1:3" x14ac:dyDescent="0.15">
      <c r="A163" s="1" t="str">
        <f t="shared" si="6"/>
        <v>Jun-25</v>
      </c>
      <c r="B163" s="2">
        <f t="shared" si="8"/>
        <v>45820</v>
      </c>
      <c r="C163" t="str">
        <f t="shared" si="7"/>
        <v>Thursday</v>
      </c>
    </row>
    <row r="164" spans="1:3" x14ac:dyDescent="0.15">
      <c r="A164" s="1" t="str">
        <f t="shared" si="6"/>
        <v>Jun-25</v>
      </c>
      <c r="B164" s="2">
        <f t="shared" si="8"/>
        <v>45821</v>
      </c>
      <c r="C164" t="str">
        <f t="shared" si="7"/>
        <v>Friday</v>
      </c>
    </row>
    <row r="165" spans="1:3" x14ac:dyDescent="0.15">
      <c r="A165" s="1" t="str">
        <f t="shared" si="6"/>
        <v>Jun-25</v>
      </c>
      <c r="B165" s="2">
        <f t="shared" si="8"/>
        <v>45822</v>
      </c>
      <c r="C165" t="str">
        <f t="shared" si="7"/>
        <v>Saturday</v>
      </c>
    </row>
    <row r="166" spans="1:3" x14ac:dyDescent="0.15">
      <c r="A166" s="1" t="str">
        <f t="shared" si="6"/>
        <v>Jun-25</v>
      </c>
      <c r="B166" s="2">
        <f t="shared" si="8"/>
        <v>45823</v>
      </c>
      <c r="C166" t="str">
        <f t="shared" si="7"/>
        <v>Sunday</v>
      </c>
    </row>
    <row r="167" spans="1:3" x14ac:dyDescent="0.15">
      <c r="A167" s="1" t="str">
        <f t="shared" si="6"/>
        <v>Jun-25</v>
      </c>
      <c r="B167" s="2">
        <f t="shared" si="8"/>
        <v>45824</v>
      </c>
      <c r="C167" t="str">
        <f t="shared" si="7"/>
        <v>Monday</v>
      </c>
    </row>
    <row r="168" spans="1:3" x14ac:dyDescent="0.15">
      <c r="A168" s="1" t="str">
        <f t="shared" si="6"/>
        <v>Jun-25</v>
      </c>
      <c r="B168" s="2">
        <f t="shared" si="8"/>
        <v>45825</v>
      </c>
      <c r="C168" t="str">
        <f t="shared" si="7"/>
        <v>Tuesday</v>
      </c>
    </row>
    <row r="169" spans="1:3" x14ac:dyDescent="0.15">
      <c r="A169" s="1" t="str">
        <f t="shared" si="6"/>
        <v>Jun-25</v>
      </c>
      <c r="B169" s="2">
        <f t="shared" si="8"/>
        <v>45826</v>
      </c>
      <c r="C169" t="str">
        <f t="shared" si="7"/>
        <v>Wednesday</v>
      </c>
    </row>
    <row r="170" spans="1:3" x14ac:dyDescent="0.15">
      <c r="A170" s="1" t="str">
        <f t="shared" si="6"/>
        <v>Jun-25</v>
      </c>
      <c r="B170" s="2">
        <f t="shared" si="8"/>
        <v>45827</v>
      </c>
      <c r="C170" t="str">
        <f t="shared" si="7"/>
        <v>Thursday</v>
      </c>
    </row>
    <row r="171" spans="1:3" x14ac:dyDescent="0.15">
      <c r="A171" s="1" t="str">
        <f t="shared" si="6"/>
        <v>Jun-25</v>
      </c>
      <c r="B171" s="2">
        <f t="shared" si="8"/>
        <v>45828</v>
      </c>
      <c r="C171" t="str">
        <f t="shared" si="7"/>
        <v>Friday</v>
      </c>
    </row>
    <row r="172" spans="1:3" x14ac:dyDescent="0.15">
      <c r="A172" s="1" t="str">
        <f t="shared" si="6"/>
        <v>Jun-25</v>
      </c>
      <c r="B172" s="2">
        <f t="shared" si="8"/>
        <v>45829</v>
      </c>
      <c r="C172" t="str">
        <f t="shared" si="7"/>
        <v>Saturday</v>
      </c>
    </row>
    <row r="173" spans="1:3" x14ac:dyDescent="0.15">
      <c r="A173" s="1" t="str">
        <f t="shared" si="6"/>
        <v>Jun-25</v>
      </c>
      <c r="B173" s="2">
        <f t="shared" si="8"/>
        <v>45830</v>
      </c>
      <c r="C173" t="str">
        <f t="shared" si="7"/>
        <v>Sunday</v>
      </c>
    </row>
    <row r="174" spans="1:3" x14ac:dyDescent="0.15">
      <c r="A174" s="1" t="str">
        <f t="shared" si="6"/>
        <v>Jun-25</v>
      </c>
      <c r="B174" s="2">
        <f t="shared" si="8"/>
        <v>45831</v>
      </c>
      <c r="C174" t="str">
        <f t="shared" si="7"/>
        <v>Monday</v>
      </c>
    </row>
    <row r="175" spans="1:3" x14ac:dyDescent="0.15">
      <c r="A175" s="1" t="str">
        <f t="shared" si="6"/>
        <v>Jun-25</v>
      </c>
      <c r="B175" s="2">
        <f t="shared" si="8"/>
        <v>45832</v>
      </c>
      <c r="C175" t="str">
        <f t="shared" si="7"/>
        <v>Tuesday</v>
      </c>
    </row>
    <row r="176" spans="1:3" x14ac:dyDescent="0.15">
      <c r="A176" s="1" t="str">
        <f t="shared" si="6"/>
        <v>Jun-25</v>
      </c>
      <c r="B176" s="2">
        <f t="shared" si="8"/>
        <v>45833</v>
      </c>
      <c r="C176" t="str">
        <f t="shared" si="7"/>
        <v>Wednesday</v>
      </c>
    </row>
    <row r="177" spans="1:3" x14ac:dyDescent="0.15">
      <c r="A177" s="1" t="str">
        <f t="shared" si="6"/>
        <v>Jun-25</v>
      </c>
      <c r="B177" s="2">
        <f t="shared" si="8"/>
        <v>45834</v>
      </c>
      <c r="C177" t="str">
        <f t="shared" si="7"/>
        <v>Thursday</v>
      </c>
    </row>
    <row r="178" spans="1:3" x14ac:dyDescent="0.15">
      <c r="A178" s="1" t="str">
        <f t="shared" ref="A178:A241" si="9">TEXT(B178,"mmm-yy")</f>
        <v>Jun-25</v>
      </c>
      <c r="B178" s="2">
        <f t="shared" si="8"/>
        <v>45835</v>
      </c>
      <c r="C178" t="str">
        <f t="shared" ref="C178:C241" si="10">IF(WEEKDAY(B178,1)=1,"Sunday",IF(WEEKDAY(B178,1)=2,"Monday",IF(WEEKDAY(B178,1)=3,"Tuesday",IF(WEEKDAY(B178,1)=4,"Wednesday",IF(WEEKDAY(B178,1)=5,"Thursday",IF(WEEKDAY(B178,1)=6,"Friday",IF(WEEKDAY(B178,1)=7,"Saturday")))))))</f>
        <v>Friday</v>
      </c>
    </row>
    <row r="179" spans="1:3" x14ac:dyDescent="0.15">
      <c r="A179" s="1" t="str">
        <f t="shared" si="9"/>
        <v>Jun-25</v>
      </c>
      <c r="B179" s="2">
        <f t="shared" si="8"/>
        <v>45836</v>
      </c>
      <c r="C179" t="str">
        <f t="shared" si="10"/>
        <v>Saturday</v>
      </c>
    </row>
    <row r="180" spans="1:3" x14ac:dyDescent="0.15">
      <c r="A180" s="1" t="str">
        <f t="shared" si="9"/>
        <v>Jun-25</v>
      </c>
      <c r="B180" s="2">
        <f t="shared" si="8"/>
        <v>45837</v>
      </c>
      <c r="C180" t="str">
        <f t="shared" si="10"/>
        <v>Sunday</v>
      </c>
    </row>
    <row r="181" spans="1:3" x14ac:dyDescent="0.15">
      <c r="A181" s="1" t="str">
        <f t="shared" si="9"/>
        <v>Jun-25</v>
      </c>
      <c r="B181" s="2">
        <f t="shared" si="8"/>
        <v>45838</v>
      </c>
      <c r="C181" t="str">
        <f t="shared" si="10"/>
        <v>Monday</v>
      </c>
    </row>
    <row r="182" spans="1:3" x14ac:dyDescent="0.15">
      <c r="A182" s="1" t="str">
        <f t="shared" si="9"/>
        <v>Jul-25</v>
      </c>
      <c r="B182" s="2">
        <f t="shared" si="8"/>
        <v>45839</v>
      </c>
      <c r="C182" t="str">
        <f t="shared" si="10"/>
        <v>Tuesday</v>
      </c>
    </row>
    <row r="183" spans="1:3" x14ac:dyDescent="0.15">
      <c r="A183" s="1" t="str">
        <f t="shared" si="9"/>
        <v>Jul-25</v>
      </c>
      <c r="B183" s="2">
        <f t="shared" si="8"/>
        <v>45840</v>
      </c>
      <c r="C183" t="str">
        <f t="shared" si="10"/>
        <v>Wednesday</v>
      </c>
    </row>
    <row r="184" spans="1:3" x14ac:dyDescent="0.15">
      <c r="A184" s="1" t="str">
        <f t="shared" si="9"/>
        <v>Jul-25</v>
      </c>
      <c r="B184" s="2">
        <f t="shared" si="8"/>
        <v>45841</v>
      </c>
      <c r="C184" t="str">
        <f t="shared" si="10"/>
        <v>Thursday</v>
      </c>
    </row>
    <row r="185" spans="1:3" x14ac:dyDescent="0.15">
      <c r="A185" s="1" t="str">
        <f t="shared" si="9"/>
        <v>Jul-25</v>
      </c>
      <c r="B185" s="2">
        <f t="shared" si="8"/>
        <v>45842</v>
      </c>
      <c r="C185" t="str">
        <f t="shared" si="10"/>
        <v>Friday</v>
      </c>
    </row>
    <row r="186" spans="1:3" x14ac:dyDescent="0.15">
      <c r="A186" s="1" t="str">
        <f t="shared" si="9"/>
        <v>Jul-25</v>
      </c>
      <c r="B186" s="2">
        <f t="shared" si="8"/>
        <v>45843</v>
      </c>
      <c r="C186" t="str">
        <f t="shared" si="10"/>
        <v>Saturday</v>
      </c>
    </row>
    <row r="187" spans="1:3" x14ac:dyDescent="0.15">
      <c r="A187" s="1" t="str">
        <f t="shared" si="9"/>
        <v>Jul-25</v>
      </c>
      <c r="B187" s="2">
        <f t="shared" si="8"/>
        <v>45844</v>
      </c>
      <c r="C187" t="str">
        <f t="shared" si="10"/>
        <v>Sunday</v>
      </c>
    </row>
    <row r="188" spans="1:3" x14ac:dyDescent="0.15">
      <c r="A188" s="1" t="str">
        <f t="shared" si="9"/>
        <v>Jul-25</v>
      </c>
      <c r="B188" s="2">
        <f t="shared" si="8"/>
        <v>45845</v>
      </c>
      <c r="C188" t="str">
        <f t="shared" si="10"/>
        <v>Monday</v>
      </c>
    </row>
    <row r="189" spans="1:3" x14ac:dyDescent="0.15">
      <c r="A189" s="1" t="str">
        <f t="shared" si="9"/>
        <v>Jul-25</v>
      </c>
      <c r="B189" s="2">
        <f t="shared" si="8"/>
        <v>45846</v>
      </c>
      <c r="C189" t="str">
        <f t="shared" si="10"/>
        <v>Tuesday</v>
      </c>
    </row>
    <row r="190" spans="1:3" x14ac:dyDescent="0.15">
      <c r="A190" s="1" t="str">
        <f t="shared" si="9"/>
        <v>Jul-25</v>
      </c>
      <c r="B190" s="2">
        <f t="shared" si="8"/>
        <v>45847</v>
      </c>
      <c r="C190" t="str">
        <f t="shared" si="10"/>
        <v>Wednesday</v>
      </c>
    </row>
    <row r="191" spans="1:3" x14ac:dyDescent="0.15">
      <c r="A191" s="1" t="str">
        <f t="shared" si="9"/>
        <v>Jul-25</v>
      </c>
      <c r="B191" s="2">
        <f t="shared" si="8"/>
        <v>45848</v>
      </c>
      <c r="C191" t="str">
        <f t="shared" si="10"/>
        <v>Thursday</v>
      </c>
    </row>
    <row r="192" spans="1:3" x14ac:dyDescent="0.15">
      <c r="A192" s="1" t="str">
        <f t="shared" si="9"/>
        <v>Jul-25</v>
      </c>
      <c r="B192" s="2">
        <f t="shared" si="8"/>
        <v>45849</v>
      </c>
      <c r="C192" t="str">
        <f t="shared" si="10"/>
        <v>Friday</v>
      </c>
    </row>
    <row r="193" spans="1:3" x14ac:dyDescent="0.15">
      <c r="A193" s="1" t="str">
        <f t="shared" si="9"/>
        <v>Jul-25</v>
      </c>
      <c r="B193" s="2">
        <f t="shared" si="8"/>
        <v>45850</v>
      </c>
      <c r="C193" t="str">
        <f t="shared" si="10"/>
        <v>Saturday</v>
      </c>
    </row>
    <row r="194" spans="1:3" x14ac:dyDescent="0.15">
      <c r="A194" s="1" t="str">
        <f t="shared" si="9"/>
        <v>Jul-25</v>
      </c>
      <c r="B194" s="2">
        <f t="shared" si="8"/>
        <v>45851</v>
      </c>
      <c r="C194" t="str">
        <f t="shared" si="10"/>
        <v>Sunday</v>
      </c>
    </row>
    <row r="195" spans="1:3" x14ac:dyDescent="0.15">
      <c r="A195" s="1" t="str">
        <f t="shared" si="9"/>
        <v>Jul-25</v>
      </c>
      <c r="B195" s="2">
        <f t="shared" ref="B195:B258" si="11">B194+1</f>
        <v>45852</v>
      </c>
      <c r="C195" t="str">
        <f t="shared" si="10"/>
        <v>Monday</v>
      </c>
    </row>
    <row r="196" spans="1:3" x14ac:dyDescent="0.15">
      <c r="A196" s="1" t="str">
        <f t="shared" si="9"/>
        <v>Jul-25</v>
      </c>
      <c r="B196" s="2">
        <f t="shared" si="11"/>
        <v>45853</v>
      </c>
      <c r="C196" t="str">
        <f t="shared" si="10"/>
        <v>Tuesday</v>
      </c>
    </row>
    <row r="197" spans="1:3" x14ac:dyDescent="0.15">
      <c r="A197" s="1" t="str">
        <f t="shared" si="9"/>
        <v>Jul-25</v>
      </c>
      <c r="B197" s="2">
        <f t="shared" si="11"/>
        <v>45854</v>
      </c>
      <c r="C197" t="str">
        <f t="shared" si="10"/>
        <v>Wednesday</v>
      </c>
    </row>
    <row r="198" spans="1:3" x14ac:dyDescent="0.15">
      <c r="A198" s="1" t="str">
        <f t="shared" si="9"/>
        <v>Jul-25</v>
      </c>
      <c r="B198" s="2">
        <f t="shared" si="11"/>
        <v>45855</v>
      </c>
      <c r="C198" t="str">
        <f t="shared" si="10"/>
        <v>Thursday</v>
      </c>
    </row>
    <row r="199" spans="1:3" x14ac:dyDescent="0.15">
      <c r="A199" s="1" t="str">
        <f t="shared" si="9"/>
        <v>Jul-25</v>
      </c>
      <c r="B199" s="2">
        <f t="shared" si="11"/>
        <v>45856</v>
      </c>
      <c r="C199" t="str">
        <f t="shared" si="10"/>
        <v>Friday</v>
      </c>
    </row>
    <row r="200" spans="1:3" x14ac:dyDescent="0.15">
      <c r="A200" s="1" t="str">
        <f t="shared" si="9"/>
        <v>Jul-25</v>
      </c>
      <c r="B200" s="2">
        <f t="shared" si="11"/>
        <v>45857</v>
      </c>
      <c r="C200" t="str">
        <f t="shared" si="10"/>
        <v>Saturday</v>
      </c>
    </row>
    <row r="201" spans="1:3" x14ac:dyDescent="0.15">
      <c r="A201" s="1" t="str">
        <f t="shared" si="9"/>
        <v>Jul-25</v>
      </c>
      <c r="B201" s="2">
        <f t="shared" si="11"/>
        <v>45858</v>
      </c>
      <c r="C201" t="str">
        <f t="shared" si="10"/>
        <v>Sunday</v>
      </c>
    </row>
    <row r="202" spans="1:3" x14ac:dyDescent="0.15">
      <c r="A202" s="1" t="str">
        <f t="shared" si="9"/>
        <v>Jul-25</v>
      </c>
      <c r="B202" s="2">
        <f t="shared" si="11"/>
        <v>45859</v>
      </c>
      <c r="C202" t="str">
        <f t="shared" si="10"/>
        <v>Monday</v>
      </c>
    </row>
    <row r="203" spans="1:3" x14ac:dyDescent="0.15">
      <c r="A203" s="1" t="str">
        <f t="shared" si="9"/>
        <v>Jul-25</v>
      </c>
      <c r="B203" s="2">
        <f t="shared" si="11"/>
        <v>45860</v>
      </c>
      <c r="C203" t="str">
        <f t="shared" si="10"/>
        <v>Tuesday</v>
      </c>
    </row>
    <row r="204" spans="1:3" x14ac:dyDescent="0.15">
      <c r="A204" s="1" t="str">
        <f t="shared" si="9"/>
        <v>Jul-25</v>
      </c>
      <c r="B204" s="2">
        <f t="shared" si="11"/>
        <v>45861</v>
      </c>
      <c r="C204" t="str">
        <f t="shared" si="10"/>
        <v>Wednesday</v>
      </c>
    </row>
    <row r="205" spans="1:3" x14ac:dyDescent="0.15">
      <c r="A205" s="1" t="str">
        <f t="shared" si="9"/>
        <v>Jul-25</v>
      </c>
      <c r="B205" s="2">
        <f t="shared" si="11"/>
        <v>45862</v>
      </c>
      <c r="C205" t="str">
        <f t="shared" si="10"/>
        <v>Thursday</v>
      </c>
    </row>
    <row r="206" spans="1:3" x14ac:dyDescent="0.15">
      <c r="A206" s="1" t="str">
        <f t="shared" si="9"/>
        <v>Jul-25</v>
      </c>
      <c r="B206" s="2">
        <f t="shared" si="11"/>
        <v>45863</v>
      </c>
      <c r="C206" t="str">
        <f t="shared" si="10"/>
        <v>Friday</v>
      </c>
    </row>
    <row r="207" spans="1:3" x14ac:dyDescent="0.15">
      <c r="A207" s="1" t="str">
        <f t="shared" si="9"/>
        <v>Jul-25</v>
      </c>
      <c r="B207" s="2">
        <f t="shared" si="11"/>
        <v>45864</v>
      </c>
      <c r="C207" t="str">
        <f t="shared" si="10"/>
        <v>Saturday</v>
      </c>
    </row>
    <row r="208" spans="1:3" x14ac:dyDescent="0.15">
      <c r="A208" s="1" t="str">
        <f t="shared" si="9"/>
        <v>Jul-25</v>
      </c>
      <c r="B208" s="2">
        <f t="shared" si="11"/>
        <v>45865</v>
      </c>
      <c r="C208" t="str">
        <f t="shared" si="10"/>
        <v>Sunday</v>
      </c>
    </row>
    <row r="209" spans="1:3" x14ac:dyDescent="0.15">
      <c r="A209" s="1" t="str">
        <f t="shared" si="9"/>
        <v>Jul-25</v>
      </c>
      <c r="B209" s="2">
        <f t="shared" si="11"/>
        <v>45866</v>
      </c>
      <c r="C209" t="str">
        <f t="shared" si="10"/>
        <v>Monday</v>
      </c>
    </row>
    <row r="210" spans="1:3" x14ac:dyDescent="0.15">
      <c r="A210" s="1" t="str">
        <f t="shared" si="9"/>
        <v>Jul-25</v>
      </c>
      <c r="B210" s="2">
        <f t="shared" si="11"/>
        <v>45867</v>
      </c>
      <c r="C210" t="str">
        <f t="shared" si="10"/>
        <v>Tuesday</v>
      </c>
    </row>
    <row r="211" spans="1:3" x14ac:dyDescent="0.15">
      <c r="A211" s="1" t="str">
        <f t="shared" si="9"/>
        <v>Jul-25</v>
      </c>
      <c r="B211" s="2">
        <f t="shared" si="11"/>
        <v>45868</v>
      </c>
      <c r="C211" t="str">
        <f t="shared" si="10"/>
        <v>Wednesday</v>
      </c>
    </row>
    <row r="212" spans="1:3" x14ac:dyDescent="0.15">
      <c r="A212" s="1" t="str">
        <f t="shared" si="9"/>
        <v>Jul-25</v>
      </c>
      <c r="B212" s="2">
        <f t="shared" si="11"/>
        <v>45869</v>
      </c>
      <c r="C212" t="str">
        <f t="shared" si="10"/>
        <v>Thursday</v>
      </c>
    </row>
    <row r="213" spans="1:3" x14ac:dyDescent="0.15">
      <c r="A213" s="1" t="str">
        <f t="shared" si="9"/>
        <v>Aug-25</v>
      </c>
      <c r="B213" s="2">
        <f t="shared" si="11"/>
        <v>45870</v>
      </c>
      <c r="C213" t="str">
        <f t="shared" si="10"/>
        <v>Friday</v>
      </c>
    </row>
    <row r="214" spans="1:3" x14ac:dyDescent="0.15">
      <c r="A214" s="1" t="str">
        <f t="shared" si="9"/>
        <v>Aug-25</v>
      </c>
      <c r="B214" s="2">
        <f t="shared" si="11"/>
        <v>45871</v>
      </c>
      <c r="C214" t="str">
        <f t="shared" si="10"/>
        <v>Saturday</v>
      </c>
    </row>
    <row r="215" spans="1:3" x14ac:dyDescent="0.15">
      <c r="A215" s="1" t="str">
        <f t="shared" si="9"/>
        <v>Aug-25</v>
      </c>
      <c r="B215" s="2">
        <f t="shared" si="11"/>
        <v>45872</v>
      </c>
      <c r="C215" t="str">
        <f t="shared" si="10"/>
        <v>Sunday</v>
      </c>
    </row>
    <row r="216" spans="1:3" x14ac:dyDescent="0.15">
      <c r="A216" s="1" t="str">
        <f t="shared" si="9"/>
        <v>Aug-25</v>
      </c>
      <c r="B216" s="2">
        <f t="shared" si="11"/>
        <v>45873</v>
      </c>
      <c r="C216" t="str">
        <f t="shared" si="10"/>
        <v>Monday</v>
      </c>
    </row>
    <row r="217" spans="1:3" x14ac:dyDescent="0.15">
      <c r="A217" s="1" t="str">
        <f t="shared" si="9"/>
        <v>Aug-25</v>
      </c>
      <c r="B217" s="2">
        <f t="shared" si="11"/>
        <v>45874</v>
      </c>
      <c r="C217" t="str">
        <f t="shared" si="10"/>
        <v>Tuesday</v>
      </c>
    </row>
    <row r="218" spans="1:3" x14ac:dyDescent="0.15">
      <c r="A218" s="1" t="str">
        <f t="shared" si="9"/>
        <v>Aug-25</v>
      </c>
      <c r="B218" s="2">
        <f t="shared" si="11"/>
        <v>45875</v>
      </c>
      <c r="C218" t="str">
        <f t="shared" si="10"/>
        <v>Wednesday</v>
      </c>
    </row>
    <row r="219" spans="1:3" x14ac:dyDescent="0.15">
      <c r="A219" s="1" t="str">
        <f t="shared" si="9"/>
        <v>Aug-25</v>
      </c>
      <c r="B219" s="2">
        <f t="shared" si="11"/>
        <v>45876</v>
      </c>
      <c r="C219" t="str">
        <f t="shared" si="10"/>
        <v>Thursday</v>
      </c>
    </row>
    <row r="220" spans="1:3" x14ac:dyDescent="0.15">
      <c r="A220" s="1" t="str">
        <f t="shared" si="9"/>
        <v>Aug-25</v>
      </c>
      <c r="B220" s="2">
        <f t="shared" si="11"/>
        <v>45877</v>
      </c>
      <c r="C220" t="str">
        <f t="shared" si="10"/>
        <v>Friday</v>
      </c>
    </row>
    <row r="221" spans="1:3" x14ac:dyDescent="0.15">
      <c r="A221" s="1" t="str">
        <f t="shared" si="9"/>
        <v>Aug-25</v>
      </c>
      <c r="B221" s="2">
        <f t="shared" si="11"/>
        <v>45878</v>
      </c>
      <c r="C221" t="str">
        <f t="shared" si="10"/>
        <v>Saturday</v>
      </c>
    </row>
    <row r="222" spans="1:3" x14ac:dyDescent="0.15">
      <c r="A222" s="1" t="str">
        <f t="shared" si="9"/>
        <v>Aug-25</v>
      </c>
      <c r="B222" s="2">
        <f t="shared" si="11"/>
        <v>45879</v>
      </c>
      <c r="C222" t="str">
        <f t="shared" si="10"/>
        <v>Sunday</v>
      </c>
    </row>
    <row r="223" spans="1:3" x14ac:dyDescent="0.15">
      <c r="A223" s="1" t="str">
        <f t="shared" si="9"/>
        <v>Aug-25</v>
      </c>
      <c r="B223" s="2">
        <f t="shared" si="11"/>
        <v>45880</v>
      </c>
      <c r="C223" t="str">
        <f t="shared" si="10"/>
        <v>Monday</v>
      </c>
    </row>
    <row r="224" spans="1:3" x14ac:dyDescent="0.15">
      <c r="A224" s="1" t="str">
        <f t="shared" si="9"/>
        <v>Aug-25</v>
      </c>
      <c r="B224" s="2">
        <f t="shared" si="11"/>
        <v>45881</v>
      </c>
      <c r="C224" t="str">
        <f t="shared" si="10"/>
        <v>Tuesday</v>
      </c>
    </row>
    <row r="225" spans="1:3" x14ac:dyDescent="0.15">
      <c r="A225" s="1" t="str">
        <f t="shared" si="9"/>
        <v>Aug-25</v>
      </c>
      <c r="B225" s="2">
        <f t="shared" si="11"/>
        <v>45882</v>
      </c>
      <c r="C225" t="str">
        <f t="shared" si="10"/>
        <v>Wednesday</v>
      </c>
    </row>
    <row r="226" spans="1:3" x14ac:dyDescent="0.15">
      <c r="A226" s="1" t="str">
        <f t="shared" si="9"/>
        <v>Aug-25</v>
      </c>
      <c r="B226" s="2">
        <f t="shared" si="11"/>
        <v>45883</v>
      </c>
      <c r="C226" t="str">
        <f t="shared" si="10"/>
        <v>Thursday</v>
      </c>
    </row>
    <row r="227" spans="1:3" x14ac:dyDescent="0.15">
      <c r="A227" s="1" t="str">
        <f t="shared" si="9"/>
        <v>Aug-25</v>
      </c>
      <c r="B227" s="2">
        <f t="shared" si="11"/>
        <v>45884</v>
      </c>
      <c r="C227" t="str">
        <f t="shared" si="10"/>
        <v>Friday</v>
      </c>
    </row>
    <row r="228" spans="1:3" x14ac:dyDescent="0.15">
      <c r="A228" s="1" t="str">
        <f t="shared" si="9"/>
        <v>Aug-25</v>
      </c>
      <c r="B228" s="2">
        <f t="shared" si="11"/>
        <v>45885</v>
      </c>
      <c r="C228" t="str">
        <f t="shared" si="10"/>
        <v>Saturday</v>
      </c>
    </row>
    <row r="229" spans="1:3" x14ac:dyDescent="0.15">
      <c r="A229" s="1" t="str">
        <f t="shared" si="9"/>
        <v>Aug-25</v>
      </c>
      <c r="B229" s="2">
        <f t="shared" si="11"/>
        <v>45886</v>
      </c>
      <c r="C229" t="str">
        <f t="shared" si="10"/>
        <v>Sunday</v>
      </c>
    </row>
    <row r="230" spans="1:3" x14ac:dyDescent="0.15">
      <c r="A230" s="1" t="str">
        <f t="shared" si="9"/>
        <v>Aug-25</v>
      </c>
      <c r="B230" s="2">
        <f t="shared" si="11"/>
        <v>45887</v>
      </c>
      <c r="C230" t="str">
        <f t="shared" si="10"/>
        <v>Monday</v>
      </c>
    </row>
    <row r="231" spans="1:3" x14ac:dyDescent="0.15">
      <c r="A231" s="1" t="str">
        <f t="shared" si="9"/>
        <v>Aug-25</v>
      </c>
      <c r="B231" s="2">
        <f t="shared" si="11"/>
        <v>45888</v>
      </c>
      <c r="C231" t="str">
        <f t="shared" si="10"/>
        <v>Tuesday</v>
      </c>
    </row>
    <row r="232" spans="1:3" x14ac:dyDescent="0.15">
      <c r="A232" s="1" t="str">
        <f t="shared" si="9"/>
        <v>Aug-25</v>
      </c>
      <c r="B232" s="2">
        <f t="shared" si="11"/>
        <v>45889</v>
      </c>
      <c r="C232" t="str">
        <f t="shared" si="10"/>
        <v>Wednesday</v>
      </c>
    </row>
    <row r="233" spans="1:3" x14ac:dyDescent="0.15">
      <c r="A233" s="1" t="str">
        <f t="shared" si="9"/>
        <v>Aug-25</v>
      </c>
      <c r="B233" s="2">
        <f t="shared" si="11"/>
        <v>45890</v>
      </c>
      <c r="C233" t="str">
        <f t="shared" si="10"/>
        <v>Thursday</v>
      </c>
    </row>
    <row r="234" spans="1:3" x14ac:dyDescent="0.15">
      <c r="A234" s="1" t="str">
        <f t="shared" si="9"/>
        <v>Aug-25</v>
      </c>
      <c r="B234" s="2">
        <f t="shared" si="11"/>
        <v>45891</v>
      </c>
      <c r="C234" t="str">
        <f t="shared" si="10"/>
        <v>Friday</v>
      </c>
    </row>
    <row r="235" spans="1:3" x14ac:dyDescent="0.15">
      <c r="A235" s="1" t="str">
        <f t="shared" si="9"/>
        <v>Aug-25</v>
      </c>
      <c r="B235" s="2">
        <f t="shared" si="11"/>
        <v>45892</v>
      </c>
      <c r="C235" t="str">
        <f t="shared" si="10"/>
        <v>Saturday</v>
      </c>
    </row>
    <row r="236" spans="1:3" x14ac:dyDescent="0.15">
      <c r="A236" s="1" t="str">
        <f t="shared" si="9"/>
        <v>Aug-25</v>
      </c>
      <c r="B236" s="2">
        <f t="shared" si="11"/>
        <v>45893</v>
      </c>
      <c r="C236" t="str">
        <f t="shared" si="10"/>
        <v>Sunday</v>
      </c>
    </row>
    <row r="237" spans="1:3" x14ac:dyDescent="0.15">
      <c r="A237" s="1" t="str">
        <f t="shared" si="9"/>
        <v>Aug-25</v>
      </c>
      <c r="B237" s="2">
        <f t="shared" si="11"/>
        <v>45894</v>
      </c>
      <c r="C237" t="str">
        <f t="shared" si="10"/>
        <v>Monday</v>
      </c>
    </row>
    <row r="238" spans="1:3" x14ac:dyDescent="0.15">
      <c r="A238" s="1" t="str">
        <f t="shared" si="9"/>
        <v>Aug-25</v>
      </c>
      <c r="B238" s="2">
        <f t="shared" si="11"/>
        <v>45895</v>
      </c>
      <c r="C238" t="str">
        <f t="shared" si="10"/>
        <v>Tuesday</v>
      </c>
    </row>
    <row r="239" spans="1:3" x14ac:dyDescent="0.15">
      <c r="A239" s="1" t="str">
        <f t="shared" si="9"/>
        <v>Aug-25</v>
      </c>
      <c r="B239" s="2">
        <f t="shared" si="11"/>
        <v>45896</v>
      </c>
      <c r="C239" t="str">
        <f t="shared" si="10"/>
        <v>Wednesday</v>
      </c>
    </row>
    <row r="240" spans="1:3" x14ac:dyDescent="0.15">
      <c r="A240" s="1" t="str">
        <f t="shared" si="9"/>
        <v>Aug-25</v>
      </c>
      <c r="B240" s="2">
        <f t="shared" si="11"/>
        <v>45897</v>
      </c>
      <c r="C240" t="str">
        <f t="shared" si="10"/>
        <v>Thursday</v>
      </c>
    </row>
    <row r="241" spans="1:3" x14ac:dyDescent="0.15">
      <c r="A241" s="1" t="str">
        <f t="shared" si="9"/>
        <v>Aug-25</v>
      </c>
      <c r="B241" s="2">
        <f t="shared" si="11"/>
        <v>45898</v>
      </c>
      <c r="C241" t="str">
        <f t="shared" si="10"/>
        <v>Friday</v>
      </c>
    </row>
    <row r="242" spans="1:3" x14ac:dyDescent="0.15">
      <c r="A242" s="1" t="str">
        <f t="shared" ref="A242:A305" si="12">TEXT(B242,"mmm-yy")</f>
        <v>Aug-25</v>
      </c>
      <c r="B242" s="2">
        <f t="shared" si="11"/>
        <v>45899</v>
      </c>
      <c r="C242" t="str">
        <f t="shared" ref="C242:C305" si="13">IF(WEEKDAY(B242,1)=1,"Sunday",IF(WEEKDAY(B242,1)=2,"Monday",IF(WEEKDAY(B242,1)=3,"Tuesday",IF(WEEKDAY(B242,1)=4,"Wednesday",IF(WEEKDAY(B242,1)=5,"Thursday",IF(WEEKDAY(B242,1)=6,"Friday",IF(WEEKDAY(B242,1)=7,"Saturday")))))))</f>
        <v>Saturday</v>
      </c>
    </row>
    <row r="243" spans="1:3" x14ac:dyDescent="0.15">
      <c r="A243" s="1" t="str">
        <f t="shared" si="12"/>
        <v>Aug-25</v>
      </c>
      <c r="B243" s="2">
        <f t="shared" si="11"/>
        <v>45900</v>
      </c>
      <c r="C243" t="str">
        <f t="shared" si="13"/>
        <v>Sunday</v>
      </c>
    </row>
    <row r="244" spans="1:3" x14ac:dyDescent="0.15">
      <c r="A244" s="1" t="str">
        <f t="shared" si="12"/>
        <v>Sep-25</v>
      </c>
      <c r="B244" s="2">
        <f t="shared" si="11"/>
        <v>45901</v>
      </c>
      <c r="C244" t="str">
        <f t="shared" si="13"/>
        <v>Monday</v>
      </c>
    </row>
    <row r="245" spans="1:3" x14ac:dyDescent="0.15">
      <c r="A245" s="1" t="str">
        <f t="shared" si="12"/>
        <v>Sep-25</v>
      </c>
      <c r="B245" s="2">
        <f t="shared" si="11"/>
        <v>45902</v>
      </c>
      <c r="C245" t="str">
        <f t="shared" si="13"/>
        <v>Tuesday</v>
      </c>
    </row>
    <row r="246" spans="1:3" x14ac:dyDescent="0.15">
      <c r="A246" s="1" t="str">
        <f t="shared" si="12"/>
        <v>Sep-25</v>
      </c>
      <c r="B246" s="2">
        <f t="shared" si="11"/>
        <v>45903</v>
      </c>
      <c r="C246" t="str">
        <f t="shared" si="13"/>
        <v>Wednesday</v>
      </c>
    </row>
    <row r="247" spans="1:3" x14ac:dyDescent="0.15">
      <c r="A247" s="1" t="str">
        <f t="shared" si="12"/>
        <v>Sep-25</v>
      </c>
      <c r="B247" s="2">
        <f t="shared" si="11"/>
        <v>45904</v>
      </c>
      <c r="C247" t="str">
        <f t="shared" si="13"/>
        <v>Thursday</v>
      </c>
    </row>
    <row r="248" spans="1:3" x14ac:dyDescent="0.15">
      <c r="A248" s="1" t="str">
        <f t="shared" si="12"/>
        <v>Sep-25</v>
      </c>
      <c r="B248" s="2">
        <f t="shared" si="11"/>
        <v>45905</v>
      </c>
      <c r="C248" t="str">
        <f t="shared" si="13"/>
        <v>Friday</v>
      </c>
    </row>
    <row r="249" spans="1:3" x14ac:dyDescent="0.15">
      <c r="A249" s="1" t="str">
        <f t="shared" si="12"/>
        <v>Sep-25</v>
      </c>
      <c r="B249" s="2">
        <f t="shared" si="11"/>
        <v>45906</v>
      </c>
      <c r="C249" t="str">
        <f t="shared" si="13"/>
        <v>Saturday</v>
      </c>
    </row>
    <row r="250" spans="1:3" x14ac:dyDescent="0.15">
      <c r="A250" s="1" t="str">
        <f t="shared" si="12"/>
        <v>Sep-25</v>
      </c>
      <c r="B250" s="2">
        <f t="shared" si="11"/>
        <v>45907</v>
      </c>
      <c r="C250" t="str">
        <f t="shared" si="13"/>
        <v>Sunday</v>
      </c>
    </row>
    <row r="251" spans="1:3" x14ac:dyDescent="0.15">
      <c r="A251" s="1" t="str">
        <f t="shared" si="12"/>
        <v>Sep-25</v>
      </c>
      <c r="B251" s="2">
        <f t="shared" si="11"/>
        <v>45908</v>
      </c>
      <c r="C251" t="str">
        <f t="shared" si="13"/>
        <v>Monday</v>
      </c>
    </row>
    <row r="252" spans="1:3" x14ac:dyDescent="0.15">
      <c r="A252" s="1" t="str">
        <f t="shared" si="12"/>
        <v>Sep-25</v>
      </c>
      <c r="B252" s="2">
        <f t="shared" si="11"/>
        <v>45909</v>
      </c>
      <c r="C252" t="str">
        <f t="shared" si="13"/>
        <v>Tuesday</v>
      </c>
    </row>
    <row r="253" spans="1:3" x14ac:dyDescent="0.15">
      <c r="A253" s="1" t="str">
        <f t="shared" si="12"/>
        <v>Sep-25</v>
      </c>
      <c r="B253" s="2">
        <f t="shared" si="11"/>
        <v>45910</v>
      </c>
      <c r="C253" t="str">
        <f t="shared" si="13"/>
        <v>Wednesday</v>
      </c>
    </row>
    <row r="254" spans="1:3" x14ac:dyDescent="0.15">
      <c r="A254" s="1" t="str">
        <f t="shared" si="12"/>
        <v>Sep-25</v>
      </c>
      <c r="B254" s="2">
        <f t="shared" si="11"/>
        <v>45911</v>
      </c>
      <c r="C254" t="str">
        <f t="shared" si="13"/>
        <v>Thursday</v>
      </c>
    </row>
    <row r="255" spans="1:3" x14ac:dyDescent="0.15">
      <c r="A255" s="1" t="str">
        <f t="shared" si="12"/>
        <v>Sep-25</v>
      </c>
      <c r="B255" s="2">
        <f t="shared" si="11"/>
        <v>45912</v>
      </c>
      <c r="C255" t="str">
        <f t="shared" si="13"/>
        <v>Friday</v>
      </c>
    </row>
    <row r="256" spans="1:3" x14ac:dyDescent="0.15">
      <c r="A256" s="1" t="str">
        <f t="shared" si="12"/>
        <v>Sep-25</v>
      </c>
      <c r="B256" s="2">
        <f t="shared" si="11"/>
        <v>45913</v>
      </c>
      <c r="C256" t="str">
        <f t="shared" si="13"/>
        <v>Saturday</v>
      </c>
    </row>
    <row r="257" spans="1:3" x14ac:dyDescent="0.15">
      <c r="A257" s="1" t="str">
        <f t="shared" si="12"/>
        <v>Sep-25</v>
      </c>
      <c r="B257" s="2">
        <f t="shared" si="11"/>
        <v>45914</v>
      </c>
      <c r="C257" t="str">
        <f t="shared" si="13"/>
        <v>Sunday</v>
      </c>
    </row>
    <row r="258" spans="1:3" x14ac:dyDescent="0.15">
      <c r="A258" s="1" t="str">
        <f t="shared" si="12"/>
        <v>Sep-25</v>
      </c>
      <c r="B258" s="2">
        <f t="shared" si="11"/>
        <v>45915</v>
      </c>
      <c r="C258" t="str">
        <f t="shared" si="13"/>
        <v>Monday</v>
      </c>
    </row>
    <row r="259" spans="1:3" x14ac:dyDescent="0.15">
      <c r="A259" s="1" t="str">
        <f t="shared" si="12"/>
        <v>Sep-25</v>
      </c>
      <c r="B259" s="2">
        <f t="shared" ref="B259:B322" si="14">B258+1</f>
        <v>45916</v>
      </c>
      <c r="C259" t="str">
        <f t="shared" si="13"/>
        <v>Tuesday</v>
      </c>
    </row>
    <row r="260" spans="1:3" x14ac:dyDescent="0.15">
      <c r="A260" s="1" t="str">
        <f t="shared" si="12"/>
        <v>Sep-25</v>
      </c>
      <c r="B260" s="2">
        <f t="shared" si="14"/>
        <v>45917</v>
      </c>
      <c r="C260" t="str">
        <f t="shared" si="13"/>
        <v>Wednesday</v>
      </c>
    </row>
    <row r="261" spans="1:3" x14ac:dyDescent="0.15">
      <c r="A261" s="1" t="str">
        <f t="shared" si="12"/>
        <v>Sep-25</v>
      </c>
      <c r="B261" s="2">
        <f t="shared" si="14"/>
        <v>45918</v>
      </c>
      <c r="C261" t="str">
        <f t="shared" si="13"/>
        <v>Thursday</v>
      </c>
    </row>
    <row r="262" spans="1:3" x14ac:dyDescent="0.15">
      <c r="A262" s="1" t="str">
        <f t="shared" si="12"/>
        <v>Sep-25</v>
      </c>
      <c r="B262" s="2">
        <f t="shared" si="14"/>
        <v>45919</v>
      </c>
      <c r="C262" t="str">
        <f t="shared" si="13"/>
        <v>Friday</v>
      </c>
    </row>
    <row r="263" spans="1:3" x14ac:dyDescent="0.15">
      <c r="A263" s="1" t="str">
        <f t="shared" si="12"/>
        <v>Sep-25</v>
      </c>
      <c r="B263" s="2">
        <f t="shared" si="14"/>
        <v>45920</v>
      </c>
      <c r="C263" t="str">
        <f t="shared" si="13"/>
        <v>Saturday</v>
      </c>
    </row>
    <row r="264" spans="1:3" x14ac:dyDescent="0.15">
      <c r="A264" s="1" t="str">
        <f t="shared" si="12"/>
        <v>Sep-25</v>
      </c>
      <c r="B264" s="2">
        <f t="shared" si="14"/>
        <v>45921</v>
      </c>
      <c r="C264" t="str">
        <f t="shared" si="13"/>
        <v>Sunday</v>
      </c>
    </row>
    <row r="265" spans="1:3" x14ac:dyDescent="0.15">
      <c r="A265" s="1" t="str">
        <f t="shared" si="12"/>
        <v>Sep-25</v>
      </c>
      <c r="B265" s="2">
        <f t="shared" si="14"/>
        <v>45922</v>
      </c>
      <c r="C265" t="str">
        <f t="shared" si="13"/>
        <v>Monday</v>
      </c>
    </row>
    <row r="266" spans="1:3" x14ac:dyDescent="0.15">
      <c r="A266" s="1" t="str">
        <f t="shared" si="12"/>
        <v>Sep-25</v>
      </c>
      <c r="B266" s="2">
        <f t="shared" si="14"/>
        <v>45923</v>
      </c>
      <c r="C266" t="str">
        <f t="shared" si="13"/>
        <v>Tuesday</v>
      </c>
    </row>
    <row r="267" spans="1:3" x14ac:dyDescent="0.15">
      <c r="A267" s="1" t="str">
        <f t="shared" si="12"/>
        <v>Sep-25</v>
      </c>
      <c r="B267" s="2">
        <f t="shared" si="14"/>
        <v>45924</v>
      </c>
      <c r="C267" t="str">
        <f t="shared" si="13"/>
        <v>Wednesday</v>
      </c>
    </row>
    <row r="268" spans="1:3" x14ac:dyDescent="0.15">
      <c r="A268" s="1" t="str">
        <f t="shared" si="12"/>
        <v>Sep-25</v>
      </c>
      <c r="B268" s="2">
        <f t="shared" si="14"/>
        <v>45925</v>
      </c>
      <c r="C268" t="str">
        <f t="shared" si="13"/>
        <v>Thursday</v>
      </c>
    </row>
    <row r="269" spans="1:3" x14ac:dyDescent="0.15">
      <c r="A269" s="1" t="str">
        <f t="shared" si="12"/>
        <v>Sep-25</v>
      </c>
      <c r="B269" s="2">
        <f t="shared" si="14"/>
        <v>45926</v>
      </c>
      <c r="C269" t="str">
        <f t="shared" si="13"/>
        <v>Friday</v>
      </c>
    </row>
    <row r="270" spans="1:3" x14ac:dyDescent="0.15">
      <c r="A270" s="1" t="str">
        <f t="shared" si="12"/>
        <v>Sep-25</v>
      </c>
      <c r="B270" s="2">
        <f t="shared" si="14"/>
        <v>45927</v>
      </c>
      <c r="C270" t="str">
        <f t="shared" si="13"/>
        <v>Saturday</v>
      </c>
    </row>
    <row r="271" spans="1:3" x14ac:dyDescent="0.15">
      <c r="A271" s="1" t="str">
        <f t="shared" si="12"/>
        <v>Sep-25</v>
      </c>
      <c r="B271" s="2">
        <f t="shared" si="14"/>
        <v>45928</v>
      </c>
      <c r="C271" t="str">
        <f t="shared" si="13"/>
        <v>Sunday</v>
      </c>
    </row>
    <row r="272" spans="1:3" x14ac:dyDescent="0.15">
      <c r="A272" s="1" t="str">
        <f t="shared" si="12"/>
        <v>Sep-25</v>
      </c>
      <c r="B272" s="2">
        <f t="shared" si="14"/>
        <v>45929</v>
      </c>
      <c r="C272" t="str">
        <f t="shared" si="13"/>
        <v>Monday</v>
      </c>
    </row>
    <row r="273" spans="1:3" x14ac:dyDescent="0.15">
      <c r="A273" s="1" t="str">
        <f t="shared" si="12"/>
        <v>Sep-25</v>
      </c>
      <c r="B273" s="2">
        <f t="shared" si="14"/>
        <v>45930</v>
      </c>
      <c r="C273" t="str">
        <f t="shared" si="13"/>
        <v>Tuesday</v>
      </c>
    </row>
    <row r="274" spans="1:3" x14ac:dyDescent="0.15">
      <c r="A274" s="1" t="str">
        <f t="shared" si="12"/>
        <v>Oct-25</v>
      </c>
      <c r="B274" s="2">
        <f t="shared" si="14"/>
        <v>45931</v>
      </c>
      <c r="C274" t="str">
        <f t="shared" si="13"/>
        <v>Wednesday</v>
      </c>
    </row>
    <row r="275" spans="1:3" x14ac:dyDescent="0.15">
      <c r="A275" s="1" t="str">
        <f t="shared" si="12"/>
        <v>Oct-25</v>
      </c>
      <c r="B275" s="2">
        <f t="shared" si="14"/>
        <v>45932</v>
      </c>
      <c r="C275" t="str">
        <f t="shared" si="13"/>
        <v>Thursday</v>
      </c>
    </row>
    <row r="276" spans="1:3" x14ac:dyDescent="0.15">
      <c r="A276" s="1" t="str">
        <f t="shared" si="12"/>
        <v>Oct-25</v>
      </c>
      <c r="B276" s="2">
        <f t="shared" si="14"/>
        <v>45933</v>
      </c>
      <c r="C276" t="str">
        <f t="shared" si="13"/>
        <v>Friday</v>
      </c>
    </row>
    <row r="277" spans="1:3" x14ac:dyDescent="0.15">
      <c r="A277" s="1" t="str">
        <f t="shared" si="12"/>
        <v>Oct-25</v>
      </c>
      <c r="B277" s="2">
        <f t="shared" si="14"/>
        <v>45934</v>
      </c>
      <c r="C277" t="str">
        <f t="shared" si="13"/>
        <v>Saturday</v>
      </c>
    </row>
    <row r="278" spans="1:3" x14ac:dyDescent="0.15">
      <c r="A278" s="1" t="str">
        <f t="shared" si="12"/>
        <v>Oct-25</v>
      </c>
      <c r="B278" s="2">
        <f t="shared" si="14"/>
        <v>45935</v>
      </c>
      <c r="C278" t="str">
        <f t="shared" si="13"/>
        <v>Sunday</v>
      </c>
    </row>
    <row r="279" spans="1:3" x14ac:dyDescent="0.15">
      <c r="A279" s="1" t="str">
        <f t="shared" si="12"/>
        <v>Oct-25</v>
      </c>
      <c r="B279" s="2">
        <f t="shared" si="14"/>
        <v>45936</v>
      </c>
      <c r="C279" t="str">
        <f t="shared" si="13"/>
        <v>Monday</v>
      </c>
    </row>
    <row r="280" spans="1:3" x14ac:dyDescent="0.15">
      <c r="A280" s="1" t="str">
        <f t="shared" si="12"/>
        <v>Oct-25</v>
      </c>
      <c r="B280" s="2">
        <f t="shared" si="14"/>
        <v>45937</v>
      </c>
      <c r="C280" t="str">
        <f t="shared" si="13"/>
        <v>Tuesday</v>
      </c>
    </row>
    <row r="281" spans="1:3" x14ac:dyDescent="0.15">
      <c r="A281" s="1" t="str">
        <f t="shared" si="12"/>
        <v>Oct-25</v>
      </c>
      <c r="B281" s="2">
        <f t="shared" si="14"/>
        <v>45938</v>
      </c>
      <c r="C281" t="str">
        <f t="shared" si="13"/>
        <v>Wednesday</v>
      </c>
    </row>
    <row r="282" spans="1:3" x14ac:dyDescent="0.15">
      <c r="A282" s="1" t="str">
        <f t="shared" si="12"/>
        <v>Oct-25</v>
      </c>
      <c r="B282" s="2">
        <f t="shared" si="14"/>
        <v>45939</v>
      </c>
      <c r="C282" t="str">
        <f t="shared" si="13"/>
        <v>Thursday</v>
      </c>
    </row>
    <row r="283" spans="1:3" x14ac:dyDescent="0.15">
      <c r="A283" s="1" t="str">
        <f t="shared" si="12"/>
        <v>Oct-25</v>
      </c>
      <c r="B283" s="2">
        <f t="shared" si="14"/>
        <v>45940</v>
      </c>
      <c r="C283" t="str">
        <f t="shared" si="13"/>
        <v>Friday</v>
      </c>
    </row>
    <row r="284" spans="1:3" x14ac:dyDescent="0.15">
      <c r="A284" s="1" t="str">
        <f t="shared" si="12"/>
        <v>Oct-25</v>
      </c>
      <c r="B284" s="2">
        <f t="shared" si="14"/>
        <v>45941</v>
      </c>
      <c r="C284" t="str">
        <f t="shared" si="13"/>
        <v>Saturday</v>
      </c>
    </row>
    <row r="285" spans="1:3" x14ac:dyDescent="0.15">
      <c r="A285" s="1" t="str">
        <f t="shared" si="12"/>
        <v>Oct-25</v>
      </c>
      <c r="B285" s="2">
        <f t="shared" si="14"/>
        <v>45942</v>
      </c>
      <c r="C285" t="str">
        <f t="shared" si="13"/>
        <v>Sunday</v>
      </c>
    </row>
    <row r="286" spans="1:3" x14ac:dyDescent="0.15">
      <c r="A286" s="1" t="str">
        <f t="shared" si="12"/>
        <v>Oct-25</v>
      </c>
      <c r="B286" s="2">
        <f t="shared" si="14"/>
        <v>45943</v>
      </c>
      <c r="C286" t="str">
        <f t="shared" si="13"/>
        <v>Monday</v>
      </c>
    </row>
    <row r="287" spans="1:3" x14ac:dyDescent="0.15">
      <c r="A287" s="1" t="str">
        <f t="shared" si="12"/>
        <v>Oct-25</v>
      </c>
      <c r="B287" s="2">
        <f t="shared" si="14"/>
        <v>45944</v>
      </c>
      <c r="C287" t="str">
        <f t="shared" si="13"/>
        <v>Tuesday</v>
      </c>
    </row>
    <row r="288" spans="1:3" x14ac:dyDescent="0.15">
      <c r="A288" s="1" t="str">
        <f t="shared" si="12"/>
        <v>Oct-25</v>
      </c>
      <c r="B288" s="2">
        <f t="shared" si="14"/>
        <v>45945</v>
      </c>
      <c r="C288" t="str">
        <f t="shared" si="13"/>
        <v>Wednesday</v>
      </c>
    </row>
    <row r="289" spans="1:3" x14ac:dyDescent="0.15">
      <c r="A289" s="1" t="str">
        <f t="shared" si="12"/>
        <v>Oct-25</v>
      </c>
      <c r="B289" s="2">
        <f t="shared" si="14"/>
        <v>45946</v>
      </c>
      <c r="C289" t="str">
        <f t="shared" si="13"/>
        <v>Thursday</v>
      </c>
    </row>
    <row r="290" spans="1:3" x14ac:dyDescent="0.15">
      <c r="A290" s="1" t="str">
        <f t="shared" si="12"/>
        <v>Oct-25</v>
      </c>
      <c r="B290" s="2">
        <f t="shared" si="14"/>
        <v>45947</v>
      </c>
      <c r="C290" t="str">
        <f t="shared" si="13"/>
        <v>Friday</v>
      </c>
    </row>
    <row r="291" spans="1:3" x14ac:dyDescent="0.15">
      <c r="A291" s="1" t="str">
        <f t="shared" si="12"/>
        <v>Oct-25</v>
      </c>
      <c r="B291" s="2">
        <f t="shared" si="14"/>
        <v>45948</v>
      </c>
      <c r="C291" t="str">
        <f t="shared" si="13"/>
        <v>Saturday</v>
      </c>
    </row>
    <row r="292" spans="1:3" x14ac:dyDescent="0.15">
      <c r="A292" s="1" t="str">
        <f t="shared" si="12"/>
        <v>Oct-25</v>
      </c>
      <c r="B292" s="2">
        <f t="shared" si="14"/>
        <v>45949</v>
      </c>
      <c r="C292" t="str">
        <f t="shared" si="13"/>
        <v>Sunday</v>
      </c>
    </row>
    <row r="293" spans="1:3" x14ac:dyDescent="0.15">
      <c r="A293" s="1" t="str">
        <f t="shared" si="12"/>
        <v>Oct-25</v>
      </c>
      <c r="B293" s="2">
        <f t="shared" si="14"/>
        <v>45950</v>
      </c>
      <c r="C293" t="str">
        <f t="shared" si="13"/>
        <v>Monday</v>
      </c>
    </row>
    <row r="294" spans="1:3" x14ac:dyDescent="0.15">
      <c r="A294" s="1" t="str">
        <f t="shared" si="12"/>
        <v>Oct-25</v>
      </c>
      <c r="B294" s="2">
        <f t="shared" si="14"/>
        <v>45951</v>
      </c>
      <c r="C294" t="str">
        <f t="shared" si="13"/>
        <v>Tuesday</v>
      </c>
    </row>
    <row r="295" spans="1:3" x14ac:dyDescent="0.15">
      <c r="A295" s="1" t="str">
        <f t="shared" si="12"/>
        <v>Oct-25</v>
      </c>
      <c r="B295" s="2">
        <f t="shared" si="14"/>
        <v>45952</v>
      </c>
      <c r="C295" t="str">
        <f t="shared" si="13"/>
        <v>Wednesday</v>
      </c>
    </row>
    <row r="296" spans="1:3" x14ac:dyDescent="0.15">
      <c r="A296" s="1" t="str">
        <f t="shared" si="12"/>
        <v>Oct-25</v>
      </c>
      <c r="B296" s="2">
        <f t="shared" si="14"/>
        <v>45953</v>
      </c>
      <c r="C296" t="str">
        <f t="shared" si="13"/>
        <v>Thursday</v>
      </c>
    </row>
    <row r="297" spans="1:3" x14ac:dyDescent="0.15">
      <c r="A297" s="1" t="str">
        <f t="shared" si="12"/>
        <v>Oct-25</v>
      </c>
      <c r="B297" s="2">
        <f t="shared" si="14"/>
        <v>45954</v>
      </c>
      <c r="C297" t="str">
        <f t="shared" si="13"/>
        <v>Friday</v>
      </c>
    </row>
    <row r="298" spans="1:3" x14ac:dyDescent="0.15">
      <c r="A298" s="1" t="str">
        <f t="shared" si="12"/>
        <v>Oct-25</v>
      </c>
      <c r="B298" s="2">
        <f t="shared" si="14"/>
        <v>45955</v>
      </c>
      <c r="C298" t="str">
        <f t="shared" si="13"/>
        <v>Saturday</v>
      </c>
    </row>
    <row r="299" spans="1:3" x14ac:dyDescent="0.15">
      <c r="A299" s="1" t="str">
        <f t="shared" si="12"/>
        <v>Oct-25</v>
      </c>
      <c r="B299" s="2">
        <f t="shared" si="14"/>
        <v>45956</v>
      </c>
      <c r="C299" t="str">
        <f t="shared" si="13"/>
        <v>Sunday</v>
      </c>
    </row>
    <row r="300" spans="1:3" x14ac:dyDescent="0.15">
      <c r="A300" s="1" t="str">
        <f t="shared" si="12"/>
        <v>Oct-25</v>
      </c>
      <c r="B300" s="2">
        <f t="shared" si="14"/>
        <v>45957</v>
      </c>
      <c r="C300" t="str">
        <f t="shared" si="13"/>
        <v>Monday</v>
      </c>
    </row>
    <row r="301" spans="1:3" x14ac:dyDescent="0.15">
      <c r="A301" s="1" t="str">
        <f t="shared" si="12"/>
        <v>Oct-25</v>
      </c>
      <c r="B301" s="2">
        <f t="shared" si="14"/>
        <v>45958</v>
      </c>
      <c r="C301" t="str">
        <f t="shared" si="13"/>
        <v>Tuesday</v>
      </c>
    </row>
    <row r="302" spans="1:3" x14ac:dyDescent="0.15">
      <c r="A302" s="1" t="str">
        <f t="shared" si="12"/>
        <v>Oct-25</v>
      </c>
      <c r="B302" s="2">
        <f t="shared" si="14"/>
        <v>45959</v>
      </c>
      <c r="C302" t="str">
        <f t="shared" si="13"/>
        <v>Wednesday</v>
      </c>
    </row>
    <row r="303" spans="1:3" x14ac:dyDescent="0.15">
      <c r="A303" s="1" t="str">
        <f t="shared" si="12"/>
        <v>Oct-25</v>
      </c>
      <c r="B303" s="2">
        <f t="shared" si="14"/>
        <v>45960</v>
      </c>
      <c r="C303" t="str">
        <f t="shared" si="13"/>
        <v>Thursday</v>
      </c>
    </row>
    <row r="304" spans="1:3" x14ac:dyDescent="0.15">
      <c r="A304" s="1" t="str">
        <f t="shared" si="12"/>
        <v>Oct-25</v>
      </c>
      <c r="B304" s="2">
        <f t="shared" si="14"/>
        <v>45961</v>
      </c>
      <c r="C304" t="str">
        <f t="shared" si="13"/>
        <v>Friday</v>
      </c>
    </row>
    <row r="305" spans="1:3" x14ac:dyDescent="0.15">
      <c r="A305" s="1" t="str">
        <f t="shared" si="12"/>
        <v>Nov-25</v>
      </c>
      <c r="B305" s="2">
        <f t="shared" si="14"/>
        <v>45962</v>
      </c>
      <c r="C305" t="str">
        <f t="shared" si="13"/>
        <v>Saturday</v>
      </c>
    </row>
    <row r="306" spans="1:3" x14ac:dyDescent="0.15">
      <c r="A306" s="1" t="str">
        <f t="shared" ref="A306:A365" si="15">TEXT(B306,"mmm-yy")</f>
        <v>Nov-25</v>
      </c>
      <c r="B306" s="2">
        <f t="shared" si="14"/>
        <v>45963</v>
      </c>
      <c r="C306" t="str">
        <f t="shared" ref="C306:C365" si="16">IF(WEEKDAY(B306,1)=1,"Sunday",IF(WEEKDAY(B306,1)=2,"Monday",IF(WEEKDAY(B306,1)=3,"Tuesday",IF(WEEKDAY(B306,1)=4,"Wednesday",IF(WEEKDAY(B306,1)=5,"Thursday",IF(WEEKDAY(B306,1)=6,"Friday",IF(WEEKDAY(B306,1)=7,"Saturday")))))))</f>
        <v>Sunday</v>
      </c>
    </row>
    <row r="307" spans="1:3" x14ac:dyDescent="0.15">
      <c r="A307" s="1" t="str">
        <f t="shared" si="15"/>
        <v>Nov-25</v>
      </c>
      <c r="B307" s="2">
        <f t="shared" si="14"/>
        <v>45964</v>
      </c>
      <c r="C307" t="str">
        <f t="shared" si="16"/>
        <v>Monday</v>
      </c>
    </row>
    <row r="308" spans="1:3" x14ac:dyDescent="0.15">
      <c r="A308" s="1" t="str">
        <f t="shared" si="15"/>
        <v>Nov-25</v>
      </c>
      <c r="B308" s="2">
        <f t="shared" si="14"/>
        <v>45965</v>
      </c>
      <c r="C308" t="str">
        <f t="shared" si="16"/>
        <v>Tuesday</v>
      </c>
    </row>
    <row r="309" spans="1:3" x14ac:dyDescent="0.15">
      <c r="A309" s="1" t="str">
        <f t="shared" si="15"/>
        <v>Nov-25</v>
      </c>
      <c r="B309" s="2">
        <f t="shared" si="14"/>
        <v>45966</v>
      </c>
      <c r="C309" t="str">
        <f t="shared" si="16"/>
        <v>Wednesday</v>
      </c>
    </row>
    <row r="310" spans="1:3" x14ac:dyDescent="0.15">
      <c r="A310" s="1" t="str">
        <f t="shared" si="15"/>
        <v>Nov-25</v>
      </c>
      <c r="B310" s="2">
        <f t="shared" si="14"/>
        <v>45967</v>
      </c>
      <c r="C310" t="str">
        <f t="shared" si="16"/>
        <v>Thursday</v>
      </c>
    </row>
    <row r="311" spans="1:3" x14ac:dyDescent="0.15">
      <c r="A311" s="1" t="str">
        <f t="shared" si="15"/>
        <v>Nov-25</v>
      </c>
      <c r="B311" s="2">
        <f t="shared" si="14"/>
        <v>45968</v>
      </c>
      <c r="C311" t="str">
        <f t="shared" si="16"/>
        <v>Friday</v>
      </c>
    </row>
    <row r="312" spans="1:3" x14ac:dyDescent="0.15">
      <c r="A312" s="1" t="str">
        <f t="shared" si="15"/>
        <v>Nov-25</v>
      </c>
      <c r="B312" s="2">
        <f t="shared" si="14"/>
        <v>45969</v>
      </c>
      <c r="C312" t="str">
        <f t="shared" si="16"/>
        <v>Saturday</v>
      </c>
    </row>
    <row r="313" spans="1:3" x14ac:dyDescent="0.15">
      <c r="A313" s="1" t="str">
        <f t="shared" si="15"/>
        <v>Nov-25</v>
      </c>
      <c r="B313" s="2">
        <f t="shared" si="14"/>
        <v>45970</v>
      </c>
      <c r="C313" t="str">
        <f t="shared" si="16"/>
        <v>Sunday</v>
      </c>
    </row>
    <row r="314" spans="1:3" x14ac:dyDescent="0.15">
      <c r="A314" s="1" t="str">
        <f t="shared" si="15"/>
        <v>Nov-25</v>
      </c>
      <c r="B314" s="2">
        <f t="shared" si="14"/>
        <v>45971</v>
      </c>
      <c r="C314" t="str">
        <f t="shared" si="16"/>
        <v>Monday</v>
      </c>
    </row>
    <row r="315" spans="1:3" x14ac:dyDescent="0.15">
      <c r="A315" s="1" t="str">
        <f t="shared" si="15"/>
        <v>Nov-25</v>
      </c>
      <c r="B315" s="2">
        <f t="shared" si="14"/>
        <v>45972</v>
      </c>
      <c r="C315" t="str">
        <f t="shared" si="16"/>
        <v>Tuesday</v>
      </c>
    </row>
    <row r="316" spans="1:3" x14ac:dyDescent="0.15">
      <c r="A316" s="1" t="str">
        <f t="shared" si="15"/>
        <v>Nov-25</v>
      </c>
      <c r="B316" s="2">
        <f t="shared" si="14"/>
        <v>45973</v>
      </c>
      <c r="C316" t="str">
        <f t="shared" si="16"/>
        <v>Wednesday</v>
      </c>
    </row>
    <row r="317" spans="1:3" x14ac:dyDescent="0.15">
      <c r="A317" s="1" t="str">
        <f t="shared" si="15"/>
        <v>Nov-25</v>
      </c>
      <c r="B317" s="2">
        <f t="shared" si="14"/>
        <v>45974</v>
      </c>
      <c r="C317" t="str">
        <f t="shared" si="16"/>
        <v>Thursday</v>
      </c>
    </row>
    <row r="318" spans="1:3" x14ac:dyDescent="0.15">
      <c r="A318" s="1" t="str">
        <f t="shared" si="15"/>
        <v>Nov-25</v>
      </c>
      <c r="B318" s="2">
        <f t="shared" si="14"/>
        <v>45975</v>
      </c>
      <c r="C318" t="str">
        <f t="shared" si="16"/>
        <v>Friday</v>
      </c>
    </row>
    <row r="319" spans="1:3" x14ac:dyDescent="0.15">
      <c r="A319" s="1" t="str">
        <f t="shared" si="15"/>
        <v>Nov-25</v>
      </c>
      <c r="B319" s="2">
        <f t="shared" si="14"/>
        <v>45976</v>
      </c>
      <c r="C319" t="str">
        <f t="shared" si="16"/>
        <v>Saturday</v>
      </c>
    </row>
    <row r="320" spans="1:3" x14ac:dyDescent="0.15">
      <c r="A320" s="1" t="str">
        <f t="shared" si="15"/>
        <v>Nov-25</v>
      </c>
      <c r="B320" s="2">
        <f t="shared" si="14"/>
        <v>45977</v>
      </c>
      <c r="C320" t="str">
        <f t="shared" si="16"/>
        <v>Sunday</v>
      </c>
    </row>
    <row r="321" spans="1:3" x14ac:dyDescent="0.15">
      <c r="A321" s="1" t="str">
        <f t="shared" si="15"/>
        <v>Nov-25</v>
      </c>
      <c r="B321" s="2">
        <f t="shared" si="14"/>
        <v>45978</v>
      </c>
      <c r="C321" t="str">
        <f t="shared" si="16"/>
        <v>Monday</v>
      </c>
    </row>
    <row r="322" spans="1:3" x14ac:dyDescent="0.15">
      <c r="A322" s="1" t="str">
        <f t="shared" si="15"/>
        <v>Nov-25</v>
      </c>
      <c r="B322" s="2">
        <f t="shared" si="14"/>
        <v>45979</v>
      </c>
      <c r="C322" t="str">
        <f t="shared" si="16"/>
        <v>Tuesday</v>
      </c>
    </row>
    <row r="323" spans="1:3" x14ac:dyDescent="0.15">
      <c r="A323" s="1" t="str">
        <f t="shared" si="15"/>
        <v>Nov-25</v>
      </c>
      <c r="B323" s="2">
        <f t="shared" ref="B323:B365" si="17">B322+1</f>
        <v>45980</v>
      </c>
      <c r="C323" t="str">
        <f t="shared" si="16"/>
        <v>Wednesday</v>
      </c>
    </row>
    <row r="324" spans="1:3" x14ac:dyDescent="0.15">
      <c r="A324" s="1" t="str">
        <f t="shared" si="15"/>
        <v>Nov-25</v>
      </c>
      <c r="B324" s="2">
        <f t="shared" si="17"/>
        <v>45981</v>
      </c>
      <c r="C324" t="str">
        <f t="shared" si="16"/>
        <v>Thursday</v>
      </c>
    </row>
    <row r="325" spans="1:3" x14ac:dyDescent="0.15">
      <c r="A325" s="1" t="str">
        <f t="shared" si="15"/>
        <v>Nov-25</v>
      </c>
      <c r="B325" s="2">
        <f t="shared" si="17"/>
        <v>45982</v>
      </c>
      <c r="C325" t="str">
        <f t="shared" si="16"/>
        <v>Friday</v>
      </c>
    </row>
    <row r="326" spans="1:3" x14ac:dyDescent="0.15">
      <c r="A326" s="1" t="str">
        <f t="shared" si="15"/>
        <v>Nov-25</v>
      </c>
      <c r="B326" s="2">
        <f t="shared" si="17"/>
        <v>45983</v>
      </c>
      <c r="C326" t="str">
        <f t="shared" si="16"/>
        <v>Saturday</v>
      </c>
    </row>
    <row r="327" spans="1:3" x14ac:dyDescent="0.15">
      <c r="A327" s="1" t="str">
        <f t="shared" si="15"/>
        <v>Nov-25</v>
      </c>
      <c r="B327" s="2">
        <f t="shared" si="17"/>
        <v>45984</v>
      </c>
      <c r="C327" t="str">
        <f t="shared" si="16"/>
        <v>Sunday</v>
      </c>
    </row>
    <row r="328" spans="1:3" x14ac:dyDescent="0.15">
      <c r="A328" s="1" t="str">
        <f t="shared" si="15"/>
        <v>Nov-25</v>
      </c>
      <c r="B328" s="2">
        <f t="shared" si="17"/>
        <v>45985</v>
      </c>
      <c r="C328" t="str">
        <f t="shared" si="16"/>
        <v>Monday</v>
      </c>
    </row>
    <row r="329" spans="1:3" x14ac:dyDescent="0.15">
      <c r="A329" s="1" t="str">
        <f t="shared" si="15"/>
        <v>Nov-25</v>
      </c>
      <c r="B329" s="2">
        <f t="shared" si="17"/>
        <v>45986</v>
      </c>
      <c r="C329" t="str">
        <f t="shared" si="16"/>
        <v>Tuesday</v>
      </c>
    </row>
    <row r="330" spans="1:3" x14ac:dyDescent="0.15">
      <c r="A330" s="1" t="str">
        <f t="shared" si="15"/>
        <v>Nov-25</v>
      </c>
      <c r="B330" s="2">
        <f t="shared" si="17"/>
        <v>45987</v>
      </c>
      <c r="C330" t="str">
        <f t="shared" si="16"/>
        <v>Wednesday</v>
      </c>
    </row>
    <row r="331" spans="1:3" x14ac:dyDescent="0.15">
      <c r="A331" s="1" t="str">
        <f t="shared" si="15"/>
        <v>Nov-25</v>
      </c>
      <c r="B331" s="2">
        <f t="shared" si="17"/>
        <v>45988</v>
      </c>
      <c r="C331" t="str">
        <f t="shared" si="16"/>
        <v>Thursday</v>
      </c>
    </row>
    <row r="332" spans="1:3" x14ac:dyDescent="0.15">
      <c r="A332" s="1" t="str">
        <f t="shared" si="15"/>
        <v>Nov-25</v>
      </c>
      <c r="B332" s="2">
        <f t="shared" si="17"/>
        <v>45989</v>
      </c>
      <c r="C332" t="str">
        <f t="shared" si="16"/>
        <v>Friday</v>
      </c>
    </row>
    <row r="333" spans="1:3" x14ac:dyDescent="0.15">
      <c r="A333" s="1" t="str">
        <f t="shared" si="15"/>
        <v>Nov-25</v>
      </c>
      <c r="B333" s="2">
        <f t="shared" si="17"/>
        <v>45990</v>
      </c>
      <c r="C333" t="str">
        <f t="shared" si="16"/>
        <v>Saturday</v>
      </c>
    </row>
    <row r="334" spans="1:3" x14ac:dyDescent="0.15">
      <c r="A334" s="1" t="str">
        <f t="shared" si="15"/>
        <v>Nov-25</v>
      </c>
      <c r="B334" s="2">
        <f t="shared" si="17"/>
        <v>45991</v>
      </c>
      <c r="C334" t="str">
        <f t="shared" si="16"/>
        <v>Sunday</v>
      </c>
    </row>
    <row r="335" spans="1:3" x14ac:dyDescent="0.15">
      <c r="A335" s="1" t="str">
        <f t="shared" si="15"/>
        <v>Dec-25</v>
      </c>
      <c r="B335" s="2">
        <f t="shared" si="17"/>
        <v>45992</v>
      </c>
      <c r="C335" t="str">
        <f t="shared" si="16"/>
        <v>Monday</v>
      </c>
    </row>
    <row r="336" spans="1:3" x14ac:dyDescent="0.15">
      <c r="A336" s="1" t="str">
        <f t="shared" si="15"/>
        <v>Dec-25</v>
      </c>
      <c r="B336" s="2">
        <f t="shared" si="17"/>
        <v>45993</v>
      </c>
      <c r="C336" t="str">
        <f t="shared" si="16"/>
        <v>Tuesday</v>
      </c>
    </row>
    <row r="337" spans="1:3" x14ac:dyDescent="0.15">
      <c r="A337" s="1" t="str">
        <f t="shared" si="15"/>
        <v>Dec-25</v>
      </c>
      <c r="B337" s="2">
        <f t="shared" si="17"/>
        <v>45994</v>
      </c>
      <c r="C337" t="str">
        <f t="shared" si="16"/>
        <v>Wednesday</v>
      </c>
    </row>
    <row r="338" spans="1:3" x14ac:dyDescent="0.15">
      <c r="A338" s="1" t="str">
        <f t="shared" si="15"/>
        <v>Dec-25</v>
      </c>
      <c r="B338" s="2">
        <f t="shared" si="17"/>
        <v>45995</v>
      </c>
      <c r="C338" t="str">
        <f t="shared" si="16"/>
        <v>Thursday</v>
      </c>
    </row>
    <row r="339" spans="1:3" x14ac:dyDescent="0.15">
      <c r="A339" s="1" t="str">
        <f t="shared" si="15"/>
        <v>Dec-25</v>
      </c>
      <c r="B339" s="2">
        <f t="shared" si="17"/>
        <v>45996</v>
      </c>
      <c r="C339" t="str">
        <f t="shared" si="16"/>
        <v>Friday</v>
      </c>
    </row>
    <row r="340" spans="1:3" x14ac:dyDescent="0.15">
      <c r="A340" s="1" t="str">
        <f t="shared" si="15"/>
        <v>Dec-25</v>
      </c>
      <c r="B340" s="2">
        <f t="shared" si="17"/>
        <v>45997</v>
      </c>
      <c r="C340" t="str">
        <f t="shared" si="16"/>
        <v>Saturday</v>
      </c>
    </row>
    <row r="341" spans="1:3" x14ac:dyDescent="0.15">
      <c r="A341" s="1" t="str">
        <f t="shared" si="15"/>
        <v>Dec-25</v>
      </c>
      <c r="B341" s="2">
        <f t="shared" si="17"/>
        <v>45998</v>
      </c>
      <c r="C341" t="str">
        <f t="shared" si="16"/>
        <v>Sunday</v>
      </c>
    </row>
    <row r="342" spans="1:3" x14ac:dyDescent="0.15">
      <c r="A342" s="1" t="str">
        <f t="shared" si="15"/>
        <v>Dec-25</v>
      </c>
      <c r="B342" s="2">
        <f t="shared" si="17"/>
        <v>45999</v>
      </c>
      <c r="C342" t="str">
        <f t="shared" si="16"/>
        <v>Monday</v>
      </c>
    </row>
    <row r="343" spans="1:3" x14ac:dyDescent="0.15">
      <c r="A343" s="1" t="str">
        <f t="shared" si="15"/>
        <v>Dec-25</v>
      </c>
      <c r="B343" s="2">
        <f t="shared" si="17"/>
        <v>46000</v>
      </c>
      <c r="C343" t="str">
        <f t="shared" si="16"/>
        <v>Tuesday</v>
      </c>
    </row>
    <row r="344" spans="1:3" x14ac:dyDescent="0.15">
      <c r="A344" s="1" t="str">
        <f t="shared" si="15"/>
        <v>Dec-25</v>
      </c>
      <c r="B344" s="2">
        <f t="shared" si="17"/>
        <v>46001</v>
      </c>
      <c r="C344" t="str">
        <f t="shared" si="16"/>
        <v>Wednesday</v>
      </c>
    </row>
    <row r="345" spans="1:3" x14ac:dyDescent="0.15">
      <c r="A345" s="1" t="str">
        <f t="shared" si="15"/>
        <v>Dec-25</v>
      </c>
      <c r="B345" s="2">
        <f t="shared" si="17"/>
        <v>46002</v>
      </c>
      <c r="C345" t="str">
        <f t="shared" si="16"/>
        <v>Thursday</v>
      </c>
    </row>
    <row r="346" spans="1:3" x14ac:dyDescent="0.15">
      <c r="A346" s="1" t="str">
        <f t="shared" si="15"/>
        <v>Dec-25</v>
      </c>
      <c r="B346" s="2">
        <f t="shared" si="17"/>
        <v>46003</v>
      </c>
      <c r="C346" t="str">
        <f t="shared" si="16"/>
        <v>Friday</v>
      </c>
    </row>
    <row r="347" spans="1:3" x14ac:dyDescent="0.15">
      <c r="A347" s="1" t="str">
        <f t="shared" si="15"/>
        <v>Dec-25</v>
      </c>
      <c r="B347" s="2">
        <f t="shared" si="17"/>
        <v>46004</v>
      </c>
      <c r="C347" t="str">
        <f t="shared" si="16"/>
        <v>Saturday</v>
      </c>
    </row>
    <row r="348" spans="1:3" x14ac:dyDescent="0.15">
      <c r="A348" s="1" t="str">
        <f t="shared" si="15"/>
        <v>Dec-25</v>
      </c>
      <c r="B348" s="2">
        <f t="shared" si="17"/>
        <v>46005</v>
      </c>
      <c r="C348" t="str">
        <f t="shared" si="16"/>
        <v>Sunday</v>
      </c>
    </row>
    <row r="349" spans="1:3" x14ac:dyDescent="0.15">
      <c r="A349" s="1" t="str">
        <f t="shared" si="15"/>
        <v>Dec-25</v>
      </c>
      <c r="B349" s="2">
        <f t="shared" si="17"/>
        <v>46006</v>
      </c>
      <c r="C349" t="str">
        <f t="shared" si="16"/>
        <v>Monday</v>
      </c>
    </row>
    <row r="350" spans="1:3" x14ac:dyDescent="0.15">
      <c r="A350" s="1" t="str">
        <f t="shared" si="15"/>
        <v>Dec-25</v>
      </c>
      <c r="B350" s="2">
        <f t="shared" si="17"/>
        <v>46007</v>
      </c>
      <c r="C350" t="str">
        <f t="shared" si="16"/>
        <v>Tuesday</v>
      </c>
    </row>
    <row r="351" spans="1:3" x14ac:dyDescent="0.15">
      <c r="A351" s="1" t="str">
        <f t="shared" si="15"/>
        <v>Dec-25</v>
      </c>
      <c r="B351" s="2">
        <f t="shared" si="17"/>
        <v>46008</v>
      </c>
      <c r="C351" t="str">
        <f t="shared" si="16"/>
        <v>Wednesday</v>
      </c>
    </row>
    <row r="352" spans="1:3" x14ac:dyDescent="0.15">
      <c r="A352" s="1" t="str">
        <f t="shared" si="15"/>
        <v>Dec-25</v>
      </c>
      <c r="B352" s="2">
        <f t="shared" si="17"/>
        <v>46009</v>
      </c>
      <c r="C352" t="str">
        <f t="shared" si="16"/>
        <v>Thursday</v>
      </c>
    </row>
    <row r="353" spans="1:3" x14ac:dyDescent="0.15">
      <c r="A353" s="1" t="str">
        <f t="shared" si="15"/>
        <v>Dec-25</v>
      </c>
      <c r="B353" s="2">
        <f t="shared" si="17"/>
        <v>46010</v>
      </c>
      <c r="C353" t="str">
        <f t="shared" si="16"/>
        <v>Friday</v>
      </c>
    </row>
    <row r="354" spans="1:3" x14ac:dyDescent="0.15">
      <c r="A354" s="1" t="str">
        <f t="shared" si="15"/>
        <v>Dec-25</v>
      </c>
      <c r="B354" s="2">
        <f t="shared" si="17"/>
        <v>46011</v>
      </c>
      <c r="C354" t="str">
        <f t="shared" si="16"/>
        <v>Saturday</v>
      </c>
    </row>
    <row r="355" spans="1:3" x14ac:dyDescent="0.15">
      <c r="A355" s="1" t="str">
        <f t="shared" si="15"/>
        <v>Dec-25</v>
      </c>
      <c r="B355" s="2">
        <f t="shared" si="17"/>
        <v>46012</v>
      </c>
      <c r="C355" t="str">
        <f t="shared" si="16"/>
        <v>Sunday</v>
      </c>
    </row>
    <row r="356" spans="1:3" x14ac:dyDescent="0.15">
      <c r="A356" s="1" t="str">
        <f t="shared" si="15"/>
        <v>Dec-25</v>
      </c>
      <c r="B356" s="2">
        <f t="shared" si="17"/>
        <v>46013</v>
      </c>
      <c r="C356" t="str">
        <f t="shared" si="16"/>
        <v>Monday</v>
      </c>
    </row>
    <row r="357" spans="1:3" x14ac:dyDescent="0.15">
      <c r="A357" s="1" t="str">
        <f t="shared" si="15"/>
        <v>Dec-25</v>
      </c>
      <c r="B357" s="2">
        <f t="shared" si="17"/>
        <v>46014</v>
      </c>
      <c r="C357" t="str">
        <f t="shared" si="16"/>
        <v>Tuesday</v>
      </c>
    </row>
    <row r="358" spans="1:3" x14ac:dyDescent="0.15">
      <c r="A358" s="1" t="str">
        <f t="shared" si="15"/>
        <v>Dec-25</v>
      </c>
      <c r="B358" s="2">
        <f t="shared" si="17"/>
        <v>46015</v>
      </c>
      <c r="C358" t="str">
        <f t="shared" si="16"/>
        <v>Wednesday</v>
      </c>
    </row>
    <row r="359" spans="1:3" x14ac:dyDescent="0.15">
      <c r="A359" s="1" t="str">
        <f t="shared" si="15"/>
        <v>Dec-25</v>
      </c>
      <c r="B359" s="2">
        <f t="shared" si="17"/>
        <v>46016</v>
      </c>
      <c r="C359" t="str">
        <f t="shared" si="16"/>
        <v>Thursday</v>
      </c>
    </row>
    <row r="360" spans="1:3" x14ac:dyDescent="0.15">
      <c r="A360" s="1" t="str">
        <f t="shared" si="15"/>
        <v>Dec-25</v>
      </c>
      <c r="B360" s="2">
        <f t="shared" si="17"/>
        <v>46017</v>
      </c>
      <c r="C360" t="str">
        <f t="shared" si="16"/>
        <v>Friday</v>
      </c>
    </row>
    <row r="361" spans="1:3" x14ac:dyDescent="0.15">
      <c r="A361" s="1" t="str">
        <f t="shared" si="15"/>
        <v>Dec-25</v>
      </c>
      <c r="B361" s="2">
        <f t="shared" si="17"/>
        <v>46018</v>
      </c>
      <c r="C361" t="str">
        <f t="shared" si="16"/>
        <v>Saturday</v>
      </c>
    </row>
    <row r="362" spans="1:3" x14ac:dyDescent="0.15">
      <c r="A362" s="1" t="str">
        <f t="shared" si="15"/>
        <v>Dec-25</v>
      </c>
      <c r="B362" s="2">
        <f t="shared" si="17"/>
        <v>46019</v>
      </c>
      <c r="C362" t="str">
        <f t="shared" si="16"/>
        <v>Sunday</v>
      </c>
    </row>
    <row r="363" spans="1:3" x14ac:dyDescent="0.15">
      <c r="A363" s="1" t="str">
        <f t="shared" si="15"/>
        <v>Dec-25</v>
      </c>
      <c r="B363" s="2">
        <f t="shared" si="17"/>
        <v>46020</v>
      </c>
      <c r="C363" t="str">
        <f t="shared" si="16"/>
        <v>Monday</v>
      </c>
    </row>
    <row r="364" spans="1:3" x14ac:dyDescent="0.15">
      <c r="A364" s="1" t="str">
        <f t="shared" si="15"/>
        <v>Dec-25</v>
      </c>
      <c r="B364" s="2">
        <f t="shared" si="17"/>
        <v>46021</v>
      </c>
      <c r="C364" t="str">
        <f t="shared" si="16"/>
        <v>Tuesday</v>
      </c>
    </row>
    <row r="365" spans="1:3" x14ac:dyDescent="0.15">
      <c r="A365" s="1" t="str">
        <f t="shared" si="15"/>
        <v>Dec-25</v>
      </c>
      <c r="B365" s="2">
        <f t="shared" si="17"/>
        <v>46022</v>
      </c>
      <c r="C365" t="str">
        <f t="shared" si="16"/>
        <v>Wednesday</v>
      </c>
    </row>
    <row r="366" spans="1:3" x14ac:dyDescent="0.15">
      <c r="A366" s="1">
        <v>43819</v>
      </c>
      <c r="B366" s="2">
        <v>44196</v>
      </c>
      <c r="C366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V74"/>
  <sheetViews>
    <sheetView showGridLines="0" tabSelected="1" zoomScale="150" zoomScaleNormal="60" zoomScaleSheetLayoutView="55" workbookViewId="0">
      <selection activeCell="L67" sqref="L67:O67"/>
    </sheetView>
  </sheetViews>
  <sheetFormatPr baseColWidth="10" defaultColWidth="0" defaultRowHeight="20" x14ac:dyDescent="0.25"/>
  <cols>
    <col min="1" max="1" width="1.1640625" style="7" customWidth="1"/>
    <col min="2" max="2" width="0.83203125" style="7" customWidth="1"/>
    <col min="3" max="3" width="20.33203125" style="7" bestFit="1" customWidth="1"/>
    <col min="4" max="4" width="16.1640625" style="7" bestFit="1" customWidth="1"/>
    <col min="5" max="12" width="12.83203125" style="7" customWidth="1"/>
    <col min="13" max="13" width="14.33203125" style="7" customWidth="1"/>
    <col min="14" max="20" width="12.83203125" style="7" customWidth="1"/>
    <col min="21" max="21" width="8.33203125" style="7" bestFit="1" customWidth="1"/>
    <col min="22" max="22" width="17.1640625" style="7" bestFit="1" customWidth="1"/>
    <col min="23" max="23" width="8.83203125" style="7" customWidth="1"/>
    <col min="24" max="24" width="2.5" style="7" customWidth="1"/>
    <col min="25" max="256" width="0" style="7" hidden="1" customWidth="1"/>
    <col min="257" max="16384" width="9.1640625" style="7" hidden="1"/>
  </cols>
  <sheetData>
    <row r="1" spans="2:23" ht="21" thickBot="1" x14ac:dyDescent="0.3">
      <c r="E1" s="8"/>
      <c r="F1" s="8"/>
      <c r="G1" s="8"/>
      <c r="H1" s="8"/>
      <c r="I1" s="8"/>
      <c r="L1" s="9"/>
      <c r="M1" s="9"/>
    </row>
    <row r="2" spans="2:23" x14ac:dyDescent="0.25">
      <c r="B2" s="78"/>
      <c r="C2" s="79"/>
      <c r="D2" s="79"/>
      <c r="E2" s="80"/>
      <c r="F2" s="80"/>
      <c r="G2" s="80"/>
      <c r="H2" s="80"/>
      <c r="I2" s="80"/>
      <c r="J2" s="79"/>
      <c r="K2" s="79"/>
      <c r="L2" s="79"/>
      <c r="M2" s="79"/>
      <c r="N2" s="150" t="s">
        <v>29</v>
      </c>
      <c r="O2" s="150"/>
      <c r="P2" s="150"/>
      <c r="Q2" s="150"/>
      <c r="R2" s="150"/>
      <c r="S2" s="150"/>
      <c r="T2" s="150"/>
      <c r="U2" s="150"/>
      <c r="V2" s="150"/>
      <c r="W2" s="151"/>
    </row>
    <row r="3" spans="2:23" x14ac:dyDescent="0.25">
      <c r="B3" s="36"/>
      <c r="E3" s="8"/>
      <c r="F3" s="8"/>
      <c r="G3" s="8"/>
      <c r="H3" s="8"/>
      <c r="I3" s="8"/>
      <c r="J3" s="10"/>
      <c r="K3" s="10"/>
      <c r="N3" s="155" t="s">
        <v>30</v>
      </c>
      <c r="O3" s="155"/>
      <c r="P3" s="155"/>
      <c r="Q3" s="155"/>
      <c r="R3" s="155"/>
      <c r="S3" s="155"/>
      <c r="T3" s="155"/>
      <c r="U3" s="155"/>
      <c r="V3" s="155"/>
      <c r="W3" s="156"/>
    </row>
    <row r="4" spans="2:23" x14ac:dyDescent="0.25">
      <c r="B4" s="36"/>
      <c r="C4" s="8"/>
      <c r="D4" s="8"/>
      <c r="E4" s="8"/>
      <c r="F4" s="8"/>
      <c r="G4" s="8"/>
      <c r="H4" s="8"/>
      <c r="I4" s="8"/>
      <c r="J4" s="10"/>
      <c r="N4" s="155"/>
      <c r="O4" s="155"/>
      <c r="P4" s="155"/>
      <c r="Q4" s="155"/>
      <c r="R4" s="155"/>
      <c r="S4" s="155"/>
      <c r="T4" s="155"/>
      <c r="U4" s="155"/>
      <c r="V4" s="155"/>
      <c r="W4" s="156"/>
    </row>
    <row r="5" spans="2:23" x14ac:dyDescent="0.25">
      <c r="B5" s="36"/>
      <c r="C5" s="8"/>
      <c r="D5" s="8"/>
      <c r="E5" s="8"/>
      <c r="F5" s="8"/>
      <c r="G5" s="8"/>
      <c r="H5" s="8"/>
      <c r="I5" s="8"/>
      <c r="N5" s="11"/>
      <c r="O5" s="11"/>
      <c r="P5" s="11"/>
      <c r="Q5" s="11"/>
      <c r="R5" s="11"/>
      <c r="S5" s="11"/>
      <c r="T5" s="11"/>
      <c r="U5" s="11"/>
      <c r="V5" s="11"/>
      <c r="W5" s="81"/>
    </row>
    <row r="6" spans="2:23" x14ac:dyDescent="0.25">
      <c r="B6" s="36"/>
      <c r="C6" s="8"/>
      <c r="D6" s="8"/>
      <c r="E6" s="8"/>
      <c r="F6" s="8"/>
      <c r="G6" s="8"/>
      <c r="H6" s="8"/>
      <c r="I6" s="8"/>
      <c r="L6" s="11"/>
      <c r="M6" s="11"/>
      <c r="N6" s="11"/>
      <c r="O6" s="11"/>
      <c r="P6" s="11"/>
      <c r="Q6" s="11"/>
      <c r="R6" s="11"/>
      <c r="S6" s="11"/>
      <c r="T6" s="11"/>
      <c r="W6" s="82"/>
    </row>
    <row r="7" spans="2:23" ht="35" customHeight="1" thickBot="1" x14ac:dyDescent="0.35">
      <c r="B7" s="36"/>
      <c r="C7" s="92" t="s">
        <v>62</v>
      </c>
      <c r="D7" s="160" t="s">
        <v>103</v>
      </c>
      <c r="E7" s="160"/>
      <c r="F7" s="160"/>
      <c r="G7" s="160"/>
      <c r="H7" s="160"/>
      <c r="I7" s="160"/>
      <c r="L7" s="9"/>
      <c r="M7" s="9" t="s">
        <v>32</v>
      </c>
      <c r="N7" s="9"/>
      <c r="O7" s="153">
        <v>45931</v>
      </c>
      <c r="P7" s="153"/>
      <c r="Q7" s="153"/>
      <c r="R7" s="153"/>
      <c r="S7" s="153"/>
      <c r="T7" s="153"/>
      <c r="U7" s="152"/>
      <c r="V7" s="8"/>
      <c r="W7" s="82"/>
    </row>
    <row r="8" spans="2:23" ht="35" customHeight="1" thickBot="1" x14ac:dyDescent="0.3">
      <c r="B8" s="36"/>
      <c r="C8" s="92" t="s">
        <v>60</v>
      </c>
      <c r="D8" s="160" t="s">
        <v>104</v>
      </c>
      <c r="E8" s="160"/>
      <c r="F8" s="160"/>
      <c r="G8" s="160"/>
      <c r="H8" s="160"/>
      <c r="I8" s="160"/>
      <c r="K8" s="154" t="str">
        <f>IF(ISERROR(VLOOKUP(O7,'Nat Stat Hol'!B:D,3,FALSE)),"","Stat Holiday Reminder: "&amp;VLOOKUP(O7,'Nat Stat Hol'!B:D,3,FALSE)&amp;" is this month")</f>
        <v/>
      </c>
      <c r="L8" s="154"/>
      <c r="M8" s="154"/>
      <c r="N8" s="154"/>
      <c r="O8" s="154"/>
      <c r="P8" s="154"/>
      <c r="Q8" s="154"/>
      <c r="R8" s="154"/>
      <c r="S8" s="154"/>
      <c r="T8" s="154"/>
      <c r="U8" s="152"/>
      <c r="V8" s="8"/>
      <c r="W8" s="82"/>
    </row>
    <row r="9" spans="2:23" ht="35" customHeight="1" thickBot="1" x14ac:dyDescent="0.3">
      <c r="B9" s="36"/>
      <c r="C9" s="92" t="s">
        <v>61</v>
      </c>
      <c r="D9" s="160">
        <v>152265</v>
      </c>
      <c r="E9" s="160"/>
      <c r="F9" s="160"/>
      <c r="G9" s="160"/>
      <c r="H9" s="160"/>
      <c r="I9" s="160"/>
      <c r="K9" s="157"/>
      <c r="L9" s="157"/>
      <c r="M9" s="157"/>
      <c r="N9" s="157"/>
      <c r="O9" s="157"/>
      <c r="P9" s="74"/>
      <c r="Q9" s="74"/>
      <c r="R9" s="9"/>
      <c r="S9" s="9"/>
      <c r="T9" s="9"/>
      <c r="W9" s="82"/>
    </row>
    <row r="10" spans="2:23" ht="18" customHeight="1" x14ac:dyDescent="0.25">
      <c r="B10" s="36"/>
      <c r="C10" s="9"/>
      <c r="D10" s="20"/>
      <c r="E10" s="20"/>
      <c r="F10" s="20"/>
      <c r="G10" s="20"/>
      <c r="H10" s="20"/>
      <c r="I10" s="20"/>
      <c r="K10" s="18"/>
      <c r="L10" s="18"/>
      <c r="M10" s="18"/>
      <c r="N10" s="18"/>
      <c r="O10" s="18"/>
      <c r="P10" s="21"/>
      <c r="Q10" s="21"/>
      <c r="R10" s="9"/>
      <c r="S10" s="9"/>
      <c r="T10" s="9"/>
      <c r="W10" s="82"/>
    </row>
    <row r="11" spans="2:23" ht="21" thickBot="1" x14ac:dyDescent="0.3">
      <c r="B11" s="36"/>
      <c r="C11" s="154" t="s">
        <v>63</v>
      </c>
      <c r="D11" s="154"/>
      <c r="E11" s="23">
        <f>O7</f>
        <v>45931</v>
      </c>
      <c r="F11" s="23">
        <f>E11+1</f>
        <v>45932</v>
      </c>
      <c r="G11" s="23">
        <f t="shared" ref="G11:S11" si="0">F11+1</f>
        <v>45933</v>
      </c>
      <c r="H11" s="23">
        <f t="shared" si="0"/>
        <v>45934</v>
      </c>
      <c r="I11" s="23">
        <f t="shared" si="0"/>
        <v>45935</v>
      </c>
      <c r="J11" s="23">
        <f t="shared" si="0"/>
        <v>45936</v>
      </c>
      <c r="K11" s="23">
        <f t="shared" si="0"/>
        <v>45937</v>
      </c>
      <c r="L11" s="23">
        <f t="shared" si="0"/>
        <v>45938</v>
      </c>
      <c r="M11" s="23">
        <f t="shared" si="0"/>
        <v>45939</v>
      </c>
      <c r="N11" s="23">
        <f t="shared" si="0"/>
        <v>45940</v>
      </c>
      <c r="O11" s="23">
        <f t="shared" si="0"/>
        <v>45941</v>
      </c>
      <c r="P11" s="23">
        <f t="shared" si="0"/>
        <v>45942</v>
      </c>
      <c r="Q11" s="23">
        <f t="shared" si="0"/>
        <v>45943</v>
      </c>
      <c r="R11" s="23">
        <f t="shared" si="0"/>
        <v>45944</v>
      </c>
      <c r="S11" s="23">
        <f t="shared" si="0"/>
        <v>45945</v>
      </c>
      <c r="U11" s="11"/>
      <c r="V11" s="24"/>
      <c r="W11" s="82"/>
    </row>
    <row r="12" spans="2:23" ht="35" customHeight="1" x14ac:dyDescent="0.25">
      <c r="B12" s="36"/>
      <c r="C12" s="72" t="s">
        <v>56</v>
      </c>
      <c r="D12" s="131" t="s">
        <v>64</v>
      </c>
      <c r="E12" s="117">
        <v>0.35416666666666669</v>
      </c>
      <c r="F12" s="117">
        <v>0.35416666666666669</v>
      </c>
      <c r="G12" s="117">
        <v>0.35416666666666669</v>
      </c>
      <c r="H12" s="118"/>
      <c r="I12" s="118"/>
      <c r="J12" s="117">
        <v>0.35416666666666669</v>
      </c>
      <c r="K12" s="117">
        <v>0.35416666666666669</v>
      </c>
      <c r="L12" s="117">
        <v>0.35416666666666669</v>
      </c>
      <c r="M12" s="117">
        <v>0.35416666666666669</v>
      </c>
      <c r="N12" s="117">
        <v>0.35416666666666669</v>
      </c>
      <c r="O12" s="118"/>
      <c r="P12" s="118"/>
      <c r="Q12" s="118"/>
      <c r="R12" s="117">
        <v>0.35416666666666669</v>
      </c>
      <c r="S12" s="117">
        <v>0.35416666666666669</v>
      </c>
      <c r="V12" s="75"/>
      <c r="W12" s="86"/>
    </row>
    <row r="13" spans="2:23" ht="35" customHeight="1" x14ac:dyDescent="0.25">
      <c r="B13" s="36"/>
      <c r="C13" s="109"/>
      <c r="D13" s="128">
        <v>0.5</v>
      </c>
      <c r="E13" s="120">
        <v>0.5</v>
      </c>
      <c r="F13" s="120">
        <v>0.5</v>
      </c>
      <c r="G13" s="120">
        <v>0.5</v>
      </c>
      <c r="H13" s="121"/>
      <c r="I13" s="121"/>
      <c r="J13" s="120">
        <v>0.5</v>
      </c>
      <c r="K13" s="120">
        <v>0.5</v>
      </c>
      <c r="L13" s="120">
        <v>0.5</v>
      </c>
      <c r="M13" s="120">
        <v>0.5</v>
      </c>
      <c r="N13" s="120">
        <v>0.5</v>
      </c>
      <c r="O13" s="121"/>
      <c r="P13" s="121"/>
      <c r="Q13" s="121"/>
      <c r="R13" s="120">
        <v>0.5</v>
      </c>
      <c r="S13" s="120">
        <v>0.5</v>
      </c>
      <c r="V13" s="75"/>
      <c r="W13" s="86"/>
    </row>
    <row r="14" spans="2:23" ht="35" customHeight="1" x14ac:dyDescent="0.25">
      <c r="B14" s="36"/>
      <c r="C14" s="71"/>
      <c r="D14" s="128">
        <v>0.54166666666666663</v>
      </c>
      <c r="E14" s="120">
        <v>0.52083333333333337</v>
      </c>
      <c r="F14" s="120">
        <v>0.52083333333333337</v>
      </c>
      <c r="G14" s="120">
        <v>0.52083333333333337</v>
      </c>
      <c r="H14" s="121"/>
      <c r="I14" s="121"/>
      <c r="J14" s="120">
        <v>0.52083333333333337</v>
      </c>
      <c r="K14" s="120">
        <v>0.52083333333333337</v>
      </c>
      <c r="L14" s="120">
        <v>0.52083333333333337</v>
      </c>
      <c r="M14" s="120">
        <v>0.52083333333333337</v>
      </c>
      <c r="N14" s="120">
        <v>0.52083333333333337</v>
      </c>
      <c r="O14" s="121"/>
      <c r="P14" s="121"/>
      <c r="Q14" s="121"/>
      <c r="R14" s="120">
        <v>0.52083333333333337</v>
      </c>
      <c r="S14" s="120">
        <v>0.52083333333333337</v>
      </c>
      <c r="V14" s="75"/>
      <c r="W14" s="86"/>
    </row>
    <row r="15" spans="2:23" ht="35" customHeight="1" thickBot="1" x14ac:dyDescent="0.3">
      <c r="B15" s="36"/>
      <c r="C15" s="113" t="s">
        <v>57</v>
      </c>
      <c r="D15" s="129">
        <v>0.70833333333333337</v>
      </c>
      <c r="E15" s="123">
        <v>0.70833333333333337</v>
      </c>
      <c r="F15" s="123">
        <v>0.70833333333333337</v>
      </c>
      <c r="G15" s="123">
        <v>0.70833333333333337</v>
      </c>
      <c r="H15" s="124"/>
      <c r="I15" s="124"/>
      <c r="J15" s="123">
        <v>0.70833333333333337</v>
      </c>
      <c r="K15" s="123">
        <v>0.70833333333333337</v>
      </c>
      <c r="L15" s="123">
        <v>0.70833333333333337</v>
      </c>
      <c r="M15" s="123">
        <v>0.70833333333333337</v>
      </c>
      <c r="N15" s="123">
        <v>0.70833333333333337</v>
      </c>
      <c r="O15" s="124"/>
      <c r="P15" s="124"/>
      <c r="Q15" s="124"/>
      <c r="R15" s="123">
        <v>0.70833333333333337</v>
      </c>
      <c r="S15" s="123">
        <v>0.70833333333333337</v>
      </c>
      <c r="V15" s="76" t="s">
        <v>59</v>
      </c>
      <c r="W15" s="86"/>
    </row>
    <row r="16" spans="2:23" ht="35" customHeight="1" thickBot="1" x14ac:dyDescent="0.3">
      <c r="B16" s="36"/>
      <c r="C16" s="115" t="s">
        <v>37</v>
      </c>
      <c r="D16" s="130">
        <v>7.5</v>
      </c>
      <c r="E16" s="112">
        <f t="shared" ref="E16:S16" si="1">CONVERT((E13-E12),"day","hr")+CONVERT((E15-E14),"day","hr")</f>
        <v>8</v>
      </c>
      <c r="F16" s="112">
        <f t="shared" si="1"/>
        <v>8</v>
      </c>
      <c r="G16" s="112">
        <f t="shared" si="1"/>
        <v>8</v>
      </c>
      <c r="H16" s="112">
        <f t="shared" si="1"/>
        <v>0</v>
      </c>
      <c r="I16" s="112">
        <f t="shared" si="1"/>
        <v>0</v>
      </c>
      <c r="J16" s="112">
        <f t="shared" si="1"/>
        <v>8</v>
      </c>
      <c r="K16" s="112">
        <f t="shared" si="1"/>
        <v>8</v>
      </c>
      <c r="L16" s="112">
        <f t="shared" si="1"/>
        <v>8</v>
      </c>
      <c r="M16" s="112">
        <f t="shared" si="1"/>
        <v>8</v>
      </c>
      <c r="N16" s="112">
        <f t="shared" si="1"/>
        <v>8</v>
      </c>
      <c r="O16" s="112">
        <f t="shared" si="1"/>
        <v>0</v>
      </c>
      <c r="P16" s="112">
        <f t="shared" si="1"/>
        <v>0</v>
      </c>
      <c r="Q16" s="112">
        <f t="shared" si="1"/>
        <v>0</v>
      </c>
      <c r="R16" s="112">
        <f t="shared" si="1"/>
        <v>8</v>
      </c>
      <c r="S16" s="112">
        <f t="shared" si="1"/>
        <v>8</v>
      </c>
      <c r="T16" s="36"/>
      <c r="U16" s="9"/>
      <c r="V16" s="91">
        <f>SUM(E16:S16)</f>
        <v>80</v>
      </c>
      <c r="W16" s="83"/>
    </row>
    <row r="17" spans="2:23" x14ac:dyDescent="0.25">
      <c r="B17" s="36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W17" s="82"/>
    </row>
    <row r="18" spans="2:23" ht="21" thickBot="1" x14ac:dyDescent="0.3">
      <c r="B18" s="36"/>
      <c r="C18" s="154" t="s">
        <v>63</v>
      </c>
      <c r="D18" s="154"/>
      <c r="E18" s="23">
        <f>S11+1</f>
        <v>45946</v>
      </c>
      <c r="F18" s="23">
        <f>E18+1</f>
        <v>45947</v>
      </c>
      <c r="G18" s="23">
        <f t="shared" ref="G18:Q18" si="2">F18+1</f>
        <v>45948</v>
      </c>
      <c r="H18" s="23">
        <f t="shared" si="2"/>
        <v>45949</v>
      </c>
      <c r="I18" s="23">
        <f t="shared" si="2"/>
        <v>45950</v>
      </c>
      <c r="J18" s="23">
        <f t="shared" si="2"/>
        <v>45951</v>
      </c>
      <c r="K18" s="23">
        <f t="shared" si="2"/>
        <v>45952</v>
      </c>
      <c r="L18" s="23">
        <f t="shared" si="2"/>
        <v>45953</v>
      </c>
      <c r="M18" s="23">
        <f t="shared" si="2"/>
        <v>45954</v>
      </c>
      <c r="N18" s="23">
        <f t="shared" si="2"/>
        <v>45955</v>
      </c>
      <c r="O18" s="23">
        <f t="shared" si="2"/>
        <v>45956</v>
      </c>
      <c r="P18" s="23">
        <f t="shared" si="2"/>
        <v>45957</v>
      </c>
      <c r="Q18" s="23">
        <f t="shared" si="2"/>
        <v>45958</v>
      </c>
      <c r="R18" s="23">
        <f>IF(MONTH(Q18+1)&lt;&gt;MONTH($O$7),"",Q18+1)</f>
        <v>45959</v>
      </c>
      <c r="S18" s="23">
        <f>IF(R18="","",IF(MONTH(R18+1)&lt;&gt;MONTH($O$7),"",R18+1))</f>
        <v>45960</v>
      </c>
      <c r="T18" s="23">
        <f>IF(S18="","",IF(MONTH(S18+1)&lt;&gt;MONTH($O$7),"",S18+1))</f>
        <v>45961</v>
      </c>
      <c r="U18" s="8"/>
      <c r="V18" s="24"/>
      <c r="W18" s="82"/>
    </row>
    <row r="19" spans="2:23" ht="35" customHeight="1" x14ac:dyDescent="0.25">
      <c r="B19" s="36"/>
      <c r="C19" s="110" t="str">
        <f>IF(C12="","",C12)</f>
        <v>Start Time:</v>
      </c>
      <c r="D19" s="131" t="s">
        <v>64</v>
      </c>
      <c r="E19" s="117">
        <v>0.35416666666666669</v>
      </c>
      <c r="F19" s="117">
        <v>0.35416666666666669</v>
      </c>
      <c r="G19" s="118"/>
      <c r="H19" s="118"/>
      <c r="I19" s="117">
        <v>0.35416666666666669</v>
      </c>
      <c r="J19" s="117">
        <v>0.35416666666666669</v>
      </c>
      <c r="K19" s="117">
        <v>0.35416666666666669</v>
      </c>
      <c r="L19" s="117">
        <v>0.35416666666666669</v>
      </c>
      <c r="M19" s="117">
        <v>0.35416666666666669</v>
      </c>
      <c r="N19" s="118"/>
      <c r="O19" s="118"/>
      <c r="P19" s="117">
        <v>0.35416666666666669</v>
      </c>
      <c r="Q19" s="117">
        <v>0.35416666666666669</v>
      </c>
      <c r="R19" s="117">
        <v>0.35416666666666669</v>
      </c>
      <c r="S19" s="117">
        <v>0.35416666666666669</v>
      </c>
      <c r="T19" s="117">
        <v>0.35416666666666669</v>
      </c>
      <c r="U19" s="8"/>
      <c r="V19" s="75"/>
      <c r="W19" s="82"/>
    </row>
    <row r="20" spans="2:23" ht="35" customHeight="1" x14ac:dyDescent="0.25">
      <c r="B20" s="36"/>
      <c r="C20" s="109"/>
      <c r="D20" s="128">
        <v>0.5</v>
      </c>
      <c r="E20" s="120">
        <v>0.5</v>
      </c>
      <c r="F20" s="120">
        <v>0.5</v>
      </c>
      <c r="G20" s="121"/>
      <c r="H20" s="121"/>
      <c r="I20" s="120">
        <v>0.5</v>
      </c>
      <c r="J20" s="120">
        <v>0.5</v>
      </c>
      <c r="K20" s="120">
        <v>0.5</v>
      </c>
      <c r="L20" s="120">
        <v>0.5</v>
      </c>
      <c r="M20" s="120">
        <v>0.5</v>
      </c>
      <c r="N20" s="121"/>
      <c r="O20" s="121"/>
      <c r="P20" s="120">
        <v>0.5</v>
      </c>
      <c r="Q20" s="120">
        <v>0.5</v>
      </c>
      <c r="R20" s="120">
        <v>0.5</v>
      </c>
      <c r="S20" s="120">
        <v>0.5</v>
      </c>
      <c r="T20" s="120">
        <v>0.5</v>
      </c>
      <c r="U20" s="8"/>
      <c r="V20" s="75"/>
      <c r="W20" s="82"/>
    </row>
    <row r="21" spans="2:23" ht="35" customHeight="1" x14ac:dyDescent="0.25">
      <c r="B21" s="36"/>
      <c r="C21" s="111"/>
      <c r="D21" s="128">
        <v>0.54166666666666663</v>
      </c>
      <c r="E21" s="120">
        <v>0.52083333333333337</v>
      </c>
      <c r="F21" s="120">
        <v>0.52083333333333337</v>
      </c>
      <c r="G21" s="121"/>
      <c r="H21" s="121"/>
      <c r="I21" s="120">
        <v>0.52083333333333337</v>
      </c>
      <c r="J21" s="120">
        <v>0.52083333333333337</v>
      </c>
      <c r="K21" s="120">
        <v>0.52083333333333337</v>
      </c>
      <c r="L21" s="120">
        <v>0.52083333333333337</v>
      </c>
      <c r="M21" s="120">
        <v>0.52083333333333337</v>
      </c>
      <c r="N21" s="121"/>
      <c r="O21" s="121"/>
      <c r="P21" s="120">
        <v>0.52083333333333337</v>
      </c>
      <c r="Q21" s="120">
        <v>0.52083333333333337</v>
      </c>
      <c r="R21" s="120">
        <v>0.52083333333333337</v>
      </c>
      <c r="S21" s="120">
        <v>0.52083333333333337</v>
      </c>
      <c r="T21" s="120">
        <v>0.52083333333333337</v>
      </c>
      <c r="U21" s="8"/>
      <c r="V21" s="75"/>
      <c r="W21" s="82"/>
    </row>
    <row r="22" spans="2:23" ht="35" customHeight="1" thickBot="1" x14ac:dyDescent="0.3">
      <c r="B22" s="36"/>
      <c r="C22" s="116" t="str">
        <f>IF(C15="","",C15)</f>
        <v>End Time:</v>
      </c>
      <c r="D22" s="129">
        <v>0.70833333333333337</v>
      </c>
      <c r="E22" s="123">
        <v>0.70833333333333337</v>
      </c>
      <c r="F22" s="123">
        <v>0.70833333333333337</v>
      </c>
      <c r="G22" s="124"/>
      <c r="H22" s="124"/>
      <c r="I22" s="123">
        <v>0.70833333333333337</v>
      </c>
      <c r="J22" s="123">
        <v>0.70833333333333337</v>
      </c>
      <c r="K22" s="123">
        <v>0.70833333333333337</v>
      </c>
      <c r="L22" s="123">
        <v>0.70833333333333337</v>
      </c>
      <c r="M22" s="123">
        <v>0.70833333333333337</v>
      </c>
      <c r="N22" s="124"/>
      <c r="O22" s="124"/>
      <c r="P22" s="123">
        <v>0.70833333333333337</v>
      </c>
      <c r="Q22" s="123">
        <v>0.70833333333333337</v>
      </c>
      <c r="R22" s="123">
        <v>0.70833333333333337</v>
      </c>
      <c r="S22" s="123">
        <v>0.70833333333333337</v>
      </c>
      <c r="T22" s="123">
        <v>0.70833333333333337</v>
      </c>
      <c r="U22" s="8"/>
      <c r="V22" s="76" t="s">
        <v>59</v>
      </c>
      <c r="W22" s="82"/>
    </row>
    <row r="23" spans="2:23" ht="35" customHeight="1" thickBot="1" x14ac:dyDescent="0.3">
      <c r="B23" s="36"/>
      <c r="C23" s="115" t="s">
        <v>37</v>
      </c>
      <c r="D23" s="130">
        <v>7.5</v>
      </c>
      <c r="E23" s="112">
        <f>CONVERT((E20-E19),"day","hr")+CONVERT((E22-E21),"day","hr")</f>
        <v>8</v>
      </c>
      <c r="F23" s="112">
        <f t="shared" ref="F23" si="3">CONVERT((F20-F19),"day","hr")+CONVERT((F22-F21),"day","hr")</f>
        <v>8</v>
      </c>
      <c r="G23" s="112">
        <f t="shared" ref="G23" si="4">CONVERT((G20-G19),"day","hr")+CONVERT((G22-G21),"day","hr")</f>
        <v>0</v>
      </c>
      <c r="H23" s="112">
        <f t="shared" ref="H23" si="5">CONVERT((H20-H19),"day","hr")+CONVERT((H22-H21),"day","hr")</f>
        <v>0</v>
      </c>
      <c r="I23" s="112">
        <f t="shared" ref="I23" si="6">CONVERT((I20-I19),"day","hr")+CONVERT((I22-I21),"day","hr")</f>
        <v>8</v>
      </c>
      <c r="J23" s="112">
        <f t="shared" ref="J23" si="7">CONVERT((J20-J19),"day","hr")+CONVERT((J22-J21),"day","hr")</f>
        <v>8</v>
      </c>
      <c r="K23" s="112">
        <f t="shared" ref="K23:L23" si="8">CONVERT((K20-K19),"day","hr")+CONVERT((K22-K21),"day","hr")</f>
        <v>8</v>
      </c>
      <c r="L23" s="112">
        <f t="shared" si="8"/>
        <v>8</v>
      </c>
      <c r="M23" s="112">
        <f t="shared" ref="M23" si="9">CONVERT((M20-M19),"day","hr")+CONVERT((M22-M21),"day","hr")</f>
        <v>8</v>
      </c>
      <c r="N23" s="112">
        <f t="shared" ref="N23" si="10">CONVERT((N20-N19),"day","hr")+CONVERT((N22-N21),"day","hr")</f>
        <v>0</v>
      </c>
      <c r="O23" s="112">
        <f t="shared" ref="O23" si="11">CONVERT((O20-O19),"day","hr")+CONVERT((O22-O21),"day","hr")</f>
        <v>0</v>
      </c>
      <c r="P23" s="112">
        <f t="shared" ref="P23" si="12">CONVERT((P20-P19),"day","hr")+CONVERT((P22-P21),"day","hr")</f>
        <v>8</v>
      </c>
      <c r="Q23" s="112">
        <f t="shared" ref="Q23" si="13">CONVERT((Q20-Q19),"day","hr")+CONVERT((Q22-Q21),"day","hr")</f>
        <v>8</v>
      </c>
      <c r="R23" s="112">
        <f t="shared" ref="R23" si="14">CONVERT((R20-R19),"day","hr")+CONVERT((R22-R21),"day","hr")</f>
        <v>8</v>
      </c>
      <c r="S23" s="112">
        <f t="shared" ref="S23:T23" si="15">CONVERT((S20-S19),"day","hr")+CONVERT((S22-S21),"day","hr")</f>
        <v>8</v>
      </c>
      <c r="T23" s="112">
        <f t="shared" si="15"/>
        <v>8</v>
      </c>
      <c r="U23" s="21"/>
      <c r="V23" s="91">
        <f>SUM(E23:T23)</f>
        <v>96</v>
      </c>
      <c r="W23" s="82"/>
    </row>
    <row r="24" spans="2:23" ht="21" thickBot="1" x14ac:dyDescent="0.3">
      <c r="B24" s="36"/>
      <c r="C24" s="9"/>
      <c r="D24" s="9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84"/>
    </row>
    <row r="25" spans="2:23" ht="34.5" customHeight="1" thickTop="1" thickBot="1" x14ac:dyDescent="0.3">
      <c r="B25" s="36"/>
      <c r="C25" s="103"/>
      <c r="D25" s="145" t="s">
        <v>54</v>
      </c>
      <c r="E25" s="146"/>
      <c r="F25" s="146"/>
      <c r="G25" s="146"/>
      <c r="H25" s="147"/>
      <c r="I25" s="103"/>
      <c r="J25" s="103"/>
      <c r="K25" s="21"/>
      <c r="L25" s="21"/>
      <c r="M25" s="21"/>
      <c r="N25" s="21"/>
      <c r="O25" s="21"/>
      <c r="P25" s="21"/>
      <c r="Q25" s="158" t="s">
        <v>41</v>
      </c>
      <c r="R25" s="159"/>
      <c r="S25" s="159"/>
      <c r="T25" s="159"/>
      <c r="U25" s="159"/>
      <c r="V25" s="37">
        <f>V16+V23</f>
        <v>176</v>
      </c>
      <c r="W25" s="84"/>
    </row>
    <row r="26" spans="2:23" ht="53.25" customHeight="1" thickBot="1" x14ac:dyDescent="0.3">
      <c r="B26" s="36"/>
      <c r="C26" s="95"/>
      <c r="D26" s="96"/>
      <c r="E26" s="96"/>
      <c r="F26" s="96"/>
      <c r="G26" s="96"/>
      <c r="H26" s="96"/>
      <c r="I26" s="96"/>
      <c r="J26" s="96"/>
      <c r="K26" s="21"/>
      <c r="L26" s="18"/>
      <c r="M26" s="18"/>
      <c r="N26" s="18"/>
      <c r="O26" s="18"/>
      <c r="W26" s="84"/>
    </row>
    <row r="27" spans="2:23" ht="32.25" customHeight="1" thickBot="1" x14ac:dyDescent="0.3">
      <c r="B27" s="36"/>
      <c r="C27" s="101" t="s">
        <v>42</v>
      </c>
      <c r="D27" s="148" t="s">
        <v>55</v>
      </c>
      <c r="E27" s="149"/>
      <c r="F27" s="149"/>
      <c r="G27" s="149"/>
      <c r="H27" s="149"/>
      <c r="I27" s="149"/>
      <c r="J27" s="149"/>
      <c r="K27" s="149"/>
      <c r="L27" s="149"/>
      <c r="M27" s="102" t="s">
        <v>42</v>
      </c>
      <c r="N27" s="161" t="s">
        <v>55</v>
      </c>
      <c r="O27" s="161"/>
      <c r="P27" s="161"/>
      <c r="Q27" s="161"/>
      <c r="R27" s="161"/>
      <c r="S27" s="161"/>
      <c r="T27" s="161"/>
      <c r="U27" s="162"/>
      <c r="V27" s="9"/>
      <c r="W27" s="84"/>
    </row>
    <row r="28" spans="2:23" ht="18.75" customHeight="1" x14ac:dyDescent="0.25">
      <c r="B28" s="36"/>
      <c r="C28" s="166">
        <v>1</v>
      </c>
      <c r="D28" s="167" t="s">
        <v>105</v>
      </c>
      <c r="E28" s="168"/>
      <c r="F28" s="168"/>
      <c r="G28" s="168"/>
      <c r="H28" s="168"/>
      <c r="I28" s="168"/>
      <c r="J28" s="168"/>
      <c r="K28" s="168"/>
      <c r="L28" s="168"/>
      <c r="M28" s="166">
        <v>17</v>
      </c>
      <c r="N28" s="163" t="s">
        <v>105</v>
      </c>
      <c r="O28" s="164"/>
      <c r="P28" s="164"/>
      <c r="Q28" s="164"/>
      <c r="R28" s="164"/>
      <c r="S28" s="164"/>
      <c r="T28" s="164"/>
      <c r="U28" s="165"/>
      <c r="V28" s="77"/>
      <c r="W28" s="84"/>
    </row>
    <row r="29" spans="2:23" ht="18.75" customHeight="1" thickBot="1" x14ac:dyDescent="0.3">
      <c r="B29" s="36"/>
      <c r="C29" s="134"/>
      <c r="D29" s="136"/>
      <c r="E29" s="136"/>
      <c r="F29" s="136"/>
      <c r="G29" s="136"/>
      <c r="H29" s="136"/>
      <c r="I29" s="136"/>
      <c r="J29" s="136"/>
      <c r="K29" s="136"/>
      <c r="L29" s="136"/>
      <c r="M29" s="134"/>
      <c r="N29" s="142"/>
      <c r="O29" s="143"/>
      <c r="P29" s="143"/>
      <c r="Q29" s="143"/>
      <c r="R29" s="143"/>
      <c r="S29" s="143"/>
      <c r="T29" s="143"/>
      <c r="U29" s="144"/>
      <c r="V29" s="77"/>
      <c r="W29" s="84"/>
    </row>
    <row r="30" spans="2:23" ht="18.75" customHeight="1" x14ac:dyDescent="0.25">
      <c r="B30" s="36"/>
      <c r="C30" s="133">
        <v>2</v>
      </c>
      <c r="D30" s="167" t="s">
        <v>105</v>
      </c>
      <c r="E30" s="168"/>
      <c r="F30" s="168"/>
      <c r="G30" s="168"/>
      <c r="H30" s="168"/>
      <c r="I30" s="168"/>
      <c r="J30" s="168"/>
      <c r="K30" s="168"/>
      <c r="L30" s="168"/>
      <c r="M30" s="133">
        <v>18</v>
      </c>
      <c r="N30" s="139"/>
      <c r="O30" s="140"/>
      <c r="P30" s="140"/>
      <c r="Q30" s="140"/>
      <c r="R30" s="140"/>
      <c r="S30" s="140"/>
      <c r="T30" s="140"/>
      <c r="U30" s="141"/>
      <c r="V30" s="77"/>
      <c r="W30" s="82"/>
    </row>
    <row r="31" spans="2:23" ht="18.75" customHeight="1" thickBot="1" x14ac:dyDescent="0.3">
      <c r="B31" s="36"/>
      <c r="C31" s="134"/>
      <c r="D31" s="136"/>
      <c r="E31" s="136"/>
      <c r="F31" s="136"/>
      <c r="G31" s="136"/>
      <c r="H31" s="136"/>
      <c r="I31" s="136"/>
      <c r="J31" s="136"/>
      <c r="K31" s="136"/>
      <c r="L31" s="136"/>
      <c r="M31" s="134"/>
      <c r="N31" s="142"/>
      <c r="O31" s="143"/>
      <c r="P31" s="143"/>
      <c r="Q31" s="143"/>
      <c r="R31" s="143"/>
      <c r="S31" s="143"/>
      <c r="T31" s="143"/>
      <c r="U31" s="144"/>
      <c r="V31" s="46"/>
      <c r="W31" s="82"/>
    </row>
    <row r="32" spans="2:23" ht="18.75" customHeight="1" x14ac:dyDescent="0.25">
      <c r="B32" s="36"/>
      <c r="C32" s="133">
        <v>3</v>
      </c>
      <c r="D32" s="167" t="s">
        <v>105</v>
      </c>
      <c r="E32" s="168"/>
      <c r="F32" s="168"/>
      <c r="G32" s="168"/>
      <c r="H32" s="168"/>
      <c r="I32" s="168"/>
      <c r="J32" s="168"/>
      <c r="K32" s="168"/>
      <c r="L32" s="168"/>
      <c r="M32" s="133">
        <v>19</v>
      </c>
      <c r="N32" s="139"/>
      <c r="O32" s="140"/>
      <c r="P32" s="140"/>
      <c r="Q32" s="140"/>
      <c r="R32" s="140"/>
      <c r="S32" s="140"/>
      <c r="T32" s="140"/>
      <c r="U32" s="141"/>
      <c r="V32" s="76"/>
      <c r="W32" s="94"/>
    </row>
    <row r="33" spans="2:23" ht="18.75" customHeight="1" thickBot="1" x14ac:dyDescent="0.3">
      <c r="B33" s="85"/>
      <c r="C33" s="134"/>
      <c r="D33" s="136"/>
      <c r="E33" s="136"/>
      <c r="F33" s="136"/>
      <c r="G33" s="136"/>
      <c r="H33" s="136"/>
      <c r="I33" s="136"/>
      <c r="J33" s="136"/>
      <c r="K33" s="136"/>
      <c r="L33" s="136"/>
      <c r="M33" s="134"/>
      <c r="N33" s="142"/>
      <c r="O33" s="143"/>
      <c r="P33" s="143"/>
      <c r="Q33" s="143"/>
      <c r="R33" s="143"/>
      <c r="S33" s="143"/>
      <c r="T33" s="143"/>
      <c r="U33" s="144"/>
      <c r="V33" s="8"/>
      <c r="W33" s="86"/>
    </row>
    <row r="34" spans="2:23" ht="18.75" customHeight="1" x14ac:dyDescent="0.25">
      <c r="B34" s="36"/>
      <c r="C34" s="133">
        <v>4</v>
      </c>
      <c r="D34" s="135"/>
      <c r="E34" s="136"/>
      <c r="F34" s="136"/>
      <c r="G34" s="136"/>
      <c r="H34" s="136"/>
      <c r="I34" s="136"/>
      <c r="J34" s="136"/>
      <c r="K34" s="136"/>
      <c r="L34" s="136"/>
      <c r="M34" s="133">
        <v>20</v>
      </c>
      <c r="N34" s="167" t="s">
        <v>105</v>
      </c>
      <c r="O34" s="168"/>
      <c r="P34" s="168"/>
      <c r="Q34" s="168"/>
      <c r="R34" s="168"/>
      <c r="S34" s="168"/>
      <c r="T34" s="168"/>
      <c r="U34" s="168"/>
      <c r="V34" s="168"/>
      <c r="W34" s="82"/>
    </row>
    <row r="35" spans="2:23" ht="18.75" customHeight="1" thickBot="1" x14ac:dyDescent="0.3">
      <c r="B35" s="36"/>
      <c r="C35" s="134"/>
      <c r="D35" s="136"/>
      <c r="E35" s="136"/>
      <c r="F35" s="136"/>
      <c r="G35" s="136"/>
      <c r="H35" s="136"/>
      <c r="I35" s="136"/>
      <c r="J35" s="136"/>
      <c r="K35" s="136"/>
      <c r="L35" s="136"/>
      <c r="M35" s="134"/>
      <c r="N35" s="136"/>
      <c r="O35" s="136"/>
      <c r="P35" s="136"/>
      <c r="Q35" s="136"/>
      <c r="R35" s="136"/>
      <c r="S35" s="136"/>
      <c r="T35" s="136"/>
      <c r="U35" s="136"/>
      <c r="V35" s="136"/>
      <c r="W35" s="82"/>
    </row>
    <row r="36" spans="2:23" ht="18.75" customHeight="1" x14ac:dyDescent="0.25">
      <c r="B36" s="36"/>
      <c r="C36" s="133">
        <v>5</v>
      </c>
      <c r="D36" s="135"/>
      <c r="E36" s="136"/>
      <c r="F36" s="136"/>
      <c r="G36" s="136"/>
      <c r="H36" s="136"/>
      <c r="I36" s="136"/>
      <c r="J36" s="136"/>
      <c r="K36" s="136"/>
      <c r="L36" s="136"/>
      <c r="M36" s="133">
        <v>21</v>
      </c>
      <c r="N36" s="167" t="s">
        <v>105</v>
      </c>
      <c r="O36" s="168"/>
      <c r="P36" s="168"/>
      <c r="Q36" s="168"/>
      <c r="R36" s="168"/>
      <c r="S36" s="168"/>
      <c r="T36" s="168"/>
      <c r="U36" s="168"/>
      <c r="V36" s="168"/>
      <c r="W36" s="82"/>
    </row>
    <row r="37" spans="2:23" ht="18.75" customHeight="1" thickBot="1" x14ac:dyDescent="0.3">
      <c r="B37" s="36"/>
      <c r="C37" s="134"/>
      <c r="D37" s="136"/>
      <c r="E37" s="136"/>
      <c r="F37" s="136"/>
      <c r="G37" s="136"/>
      <c r="H37" s="136"/>
      <c r="I37" s="136"/>
      <c r="J37" s="136"/>
      <c r="K37" s="136"/>
      <c r="L37" s="136"/>
      <c r="M37" s="134"/>
      <c r="N37" s="136"/>
      <c r="O37" s="136"/>
      <c r="P37" s="136"/>
      <c r="Q37" s="136"/>
      <c r="R37" s="136"/>
      <c r="S37" s="136"/>
      <c r="T37" s="136"/>
      <c r="U37" s="136"/>
      <c r="V37" s="136"/>
      <c r="W37" s="82"/>
    </row>
    <row r="38" spans="2:23" ht="18.75" customHeight="1" x14ac:dyDescent="0.25">
      <c r="B38" s="36"/>
      <c r="C38" s="133">
        <v>6</v>
      </c>
      <c r="D38" s="167" t="s">
        <v>105</v>
      </c>
      <c r="E38" s="168"/>
      <c r="F38" s="168"/>
      <c r="G38" s="168"/>
      <c r="H38" s="168"/>
      <c r="I38" s="168"/>
      <c r="J38" s="168"/>
      <c r="K38" s="168"/>
      <c r="L38" s="168"/>
      <c r="M38" s="133">
        <v>22</v>
      </c>
      <c r="N38" s="167" t="s">
        <v>105</v>
      </c>
      <c r="O38" s="168"/>
      <c r="P38" s="168"/>
      <c r="Q38" s="168"/>
      <c r="R38" s="168"/>
      <c r="S38" s="168"/>
      <c r="T38" s="168"/>
      <c r="U38" s="168"/>
      <c r="V38" s="168"/>
      <c r="W38" s="82"/>
    </row>
    <row r="39" spans="2:23" ht="18.75" customHeight="1" thickBot="1" x14ac:dyDescent="0.3">
      <c r="B39" s="36"/>
      <c r="C39" s="134"/>
      <c r="D39" s="136"/>
      <c r="E39" s="136"/>
      <c r="F39" s="136"/>
      <c r="G39" s="136"/>
      <c r="H39" s="136"/>
      <c r="I39" s="136"/>
      <c r="J39" s="136"/>
      <c r="K39" s="136"/>
      <c r="L39" s="136"/>
      <c r="M39" s="134"/>
      <c r="N39" s="136"/>
      <c r="O39" s="136"/>
      <c r="P39" s="136"/>
      <c r="Q39" s="136"/>
      <c r="R39" s="136"/>
      <c r="S39" s="136"/>
      <c r="T39" s="136"/>
      <c r="U39" s="136"/>
      <c r="V39" s="136"/>
      <c r="W39" s="82"/>
    </row>
    <row r="40" spans="2:23" ht="18.75" customHeight="1" x14ac:dyDescent="0.25">
      <c r="B40" s="36"/>
      <c r="C40" s="133">
        <v>7</v>
      </c>
      <c r="D40" s="167" t="s">
        <v>105</v>
      </c>
      <c r="E40" s="168"/>
      <c r="F40" s="168"/>
      <c r="G40" s="168"/>
      <c r="H40" s="168"/>
      <c r="I40" s="168"/>
      <c r="J40" s="168"/>
      <c r="K40" s="168"/>
      <c r="L40" s="168"/>
      <c r="M40" s="133">
        <v>23</v>
      </c>
      <c r="N40" s="167" t="s">
        <v>105</v>
      </c>
      <c r="O40" s="168"/>
      <c r="P40" s="168"/>
      <c r="Q40" s="168"/>
      <c r="R40" s="168"/>
      <c r="S40" s="168"/>
      <c r="T40" s="168"/>
      <c r="U40" s="168"/>
      <c r="V40" s="168"/>
      <c r="W40" s="82"/>
    </row>
    <row r="41" spans="2:23" ht="18.75" customHeight="1" thickBot="1" x14ac:dyDescent="0.3">
      <c r="B41" s="36"/>
      <c r="C41" s="134"/>
      <c r="D41" s="136"/>
      <c r="E41" s="136"/>
      <c r="F41" s="136"/>
      <c r="G41" s="136"/>
      <c r="H41" s="136"/>
      <c r="I41" s="136"/>
      <c r="J41" s="136"/>
      <c r="K41" s="136"/>
      <c r="L41" s="136"/>
      <c r="M41" s="134"/>
      <c r="N41" s="136"/>
      <c r="O41" s="136"/>
      <c r="P41" s="136"/>
      <c r="Q41" s="136"/>
      <c r="R41" s="136"/>
      <c r="S41" s="136"/>
      <c r="T41" s="136"/>
      <c r="U41" s="136"/>
      <c r="V41" s="136"/>
      <c r="W41" s="82"/>
    </row>
    <row r="42" spans="2:23" ht="18.75" customHeight="1" x14ac:dyDescent="0.25">
      <c r="B42" s="36"/>
      <c r="C42" s="133">
        <v>8</v>
      </c>
      <c r="D42" s="167" t="s">
        <v>105</v>
      </c>
      <c r="E42" s="168"/>
      <c r="F42" s="168"/>
      <c r="G42" s="168"/>
      <c r="H42" s="168"/>
      <c r="I42" s="168"/>
      <c r="J42" s="168"/>
      <c r="K42" s="168"/>
      <c r="L42" s="168"/>
      <c r="M42" s="133">
        <v>24</v>
      </c>
      <c r="N42" s="167" t="s">
        <v>105</v>
      </c>
      <c r="O42" s="168"/>
      <c r="P42" s="168"/>
      <c r="Q42" s="168"/>
      <c r="R42" s="168"/>
      <c r="S42" s="168"/>
      <c r="T42" s="168"/>
      <c r="U42" s="168"/>
      <c r="V42" s="168"/>
      <c r="W42" s="82"/>
    </row>
    <row r="43" spans="2:23" ht="18.75" customHeight="1" thickBot="1" x14ac:dyDescent="0.3">
      <c r="B43" s="36"/>
      <c r="C43" s="134"/>
      <c r="D43" s="136"/>
      <c r="E43" s="136"/>
      <c r="F43" s="136"/>
      <c r="G43" s="136"/>
      <c r="H43" s="136"/>
      <c r="I43" s="136"/>
      <c r="J43" s="136"/>
      <c r="K43" s="136"/>
      <c r="L43" s="136"/>
      <c r="M43" s="134"/>
      <c r="N43" s="136"/>
      <c r="O43" s="136"/>
      <c r="P43" s="136"/>
      <c r="Q43" s="136"/>
      <c r="R43" s="136"/>
      <c r="S43" s="136"/>
      <c r="T43" s="136"/>
      <c r="U43" s="136"/>
      <c r="V43" s="136"/>
      <c r="W43" s="82"/>
    </row>
    <row r="44" spans="2:23" ht="18.75" customHeight="1" x14ac:dyDescent="0.25">
      <c r="B44" s="36"/>
      <c r="C44" s="133">
        <v>9</v>
      </c>
      <c r="D44" s="167" t="s">
        <v>105</v>
      </c>
      <c r="E44" s="168"/>
      <c r="F44" s="168"/>
      <c r="G44" s="168"/>
      <c r="H44" s="168"/>
      <c r="I44" s="168"/>
      <c r="J44" s="168"/>
      <c r="K44" s="168"/>
      <c r="L44" s="168"/>
      <c r="M44" s="133">
        <v>25</v>
      </c>
      <c r="N44" s="139"/>
      <c r="O44" s="140"/>
      <c r="P44" s="140"/>
      <c r="Q44" s="140"/>
      <c r="R44" s="140"/>
      <c r="S44" s="140"/>
      <c r="T44" s="140"/>
      <c r="U44" s="141"/>
      <c r="W44" s="82"/>
    </row>
    <row r="45" spans="2:23" ht="18.75" customHeight="1" thickBot="1" x14ac:dyDescent="0.3">
      <c r="B45" s="36"/>
      <c r="C45" s="134"/>
      <c r="D45" s="136"/>
      <c r="E45" s="136"/>
      <c r="F45" s="136"/>
      <c r="G45" s="136"/>
      <c r="H45" s="136"/>
      <c r="I45" s="136"/>
      <c r="J45" s="136"/>
      <c r="K45" s="136"/>
      <c r="L45" s="136"/>
      <c r="M45" s="134"/>
      <c r="N45" s="142"/>
      <c r="O45" s="143"/>
      <c r="P45" s="143"/>
      <c r="Q45" s="143"/>
      <c r="R45" s="143"/>
      <c r="S45" s="143"/>
      <c r="T45" s="143"/>
      <c r="U45" s="144"/>
      <c r="W45" s="82"/>
    </row>
    <row r="46" spans="2:23" ht="18.75" customHeight="1" x14ac:dyDescent="0.25">
      <c r="B46" s="36"/>
      <c r="C46" s="133">
        <v>10</v>
      </c>
      <c r="D46" s="167" t="s">
        <v>105</v>
      </c>
      <c r="E46" s="168"/>
      <c r="F46" s="168"/>
      <c r="G46" s="168"/>
      <c r="H46" s="168"/>
      <c r="I46" s="168"/>
      <c r="J46" s="168"/>
      <c r="K46" s="168"/>
      <c r="L46" s="168"/>
      <c r="M46" s="133">
        <v>26</v>
      </c>
      <c r="N46" s="139"/>
      <c r="O46" s="140"/>
      <c r="P46" s="140"/>
      <c r="Q46" s="140"/>
      <c r="R46" s="140"/>
      <c r="S46" s="140"/>
      <c r="T46" s="140"/>
      <c r="U46" s="141"/>
      <c r="W46" s="82"/>
    </row>
    <row r="47" spans="2:23" ht="18.75" customHeight="1" x14ac:dyDescent="0.25">
      <c r="B47" s="36"/>
      <c r="C47" s="134"/>
      <c r="D47" s="136"/>
      <c r="E47" s="136"/>
      <c r="F47" s="136"/>
      <c r="G47" s="136"/>
      <c r="H47" s="136"/>
      <c r="I47" s="136"/>
      <c r="J47" s="136"/>
      <c r="K47" s="136"/>
      <c r="L47" s="136"/>
      <c r="M47" s="134"/>
      <c r="N47" s="142"/>
      <c r="O47" s="143"/>
      <c r="P47" s="143"/>
      <c r="Q47" s="143"/>
      <c r="R47" s="143"/>
      <c r="S47" s="143"/>
      <c r="T47" s="143"/>
      <c r="U47" s="144"/>
      <c r="W47" s="82"/>
    </row>
    <row r="48" spans="2:23" ht="18.75" customHeight="1" x14ac:dyDescent="0.25">
      <c r="B48" s="36"/>
      <c r="C48" s="133">
        <v>11</v>
      </c>
      <c r="D48" s="135"/>
      <c r="E48" s="136"/>
      <c r="F48" s="136"/>
      <c r="G48" s="136"/>
      <c r="H48" s="136"/>
      <c r="I48" s="136"/>
      <c r="J48" s="136"/>
      <c r="K48" s="136"/>
      <c r="L48" s="136"/>
      <c r="M48" s="133">
        <v>27</v>
      </c>
      <c r="N48" s="139" t="s">
        <v>105</v>
      </c>
      <c r="O48" s="140"/>
      <c r="P48" s="140"/>
      <c r="Q48" s="140"/>
      <c r="R48" s="140"/>
      <c r="S48" s="140"/>
      <c r="T48" s="140"/>
      <c r="U48" s="141"/>
      <c r="W48" s="82"/>
    </row>
    <row r="49" spans="2:23" ht="18.75" customHeight="1" x14ac:dyDescent="0.25">
      <c r="B49" s="36"/>
      <c r="C49" s="134"/>
      <c r="D49" s="136"/>
      <c r="E49" s="136"/>
      <c r="F49" s="136"/>
      <c r="G49" s="136"/>
      <c r="H49" s="136"/>
      <c r="I49" s="136"/>
      <c r="J49" s="136"/>
      <c r="K49" s="136"/>
      <c r="L49" s="136"/>
      <c r="M49" s="134"/>
      <c r="N49" s="142"/>
      <c r="O49" s="143"/>
      <c r="P49" s="143"/>
      <c r="Q49" s="143"/>
      <c r="R49" s="143"/>
      <c r="S49" s="143"/>
      <c r="T49" s="143"/>
      <c r="U49" s="144"/>
      <c r="W49" s="82"/>
    </row>
    <row r="50" spans="2:23" ht="18.75" customHeight="1" x14ac:dyDescent="0.25">
      <c r="B50" s="36"/>
      <c r="C50" s="133">
        <v>12</v>
      </c>
      <c r="D50" s="135"/>
      <c r="E50" s="136"/>
      <c r="F50" s="136"/>
      <c r="G50" s="136"/>
      <c r="H50" s="136"/>
      <c r="I50" s="136"/>
      <c r="J50" s="136"/>
      <c r="K50" s="136"/>
      <c r="L50" s="136"/>
      <c r="M50" s="133">
        <v>28</v>
      </c>
      <c r="N50" s="139" t="s">
        <v>105</v>
      </c>
      <c r="O50" s="140"/>
      <c r="P50" s="140"/>
      <c r="Q50" s="140"/>
      <c r="R50" s="140"/>
      <c r="S50" s="140"/>
      <c r="T50" s="140"/>
      <c r="U50" s="141"/>
      <c r="W50" s="82"/>
    </row>
    <row r="51" spans="2:23" ht="18.75" customHeight="1" x14ac:dyDescent="0.25">
      <c r="B51" s="36"/>
      <c r="C51" s="134"/>
      <c r="D51" s="136"/>
      <c r="E51" s="136"/>
      <c r="F51" s="136"/>
      <c r="G51" s="136"/>
      <c r="H51" s="136"/>
      <c r="I51" s="136"/>
      <c r="J51" s="136"/>
      <c r="K51" s="136"/>
      <c r="L51" s="136"/>
      <c r="M51" s="134"/>
      <c r="N51" s="142"/>
      <c r="O51" s="143"/>
      <c r="P51" s="143"/>
      <c r="Q51" s="143"/>
      <c r="R51" s="143"/>
      <c r="S51" s="143"/>
      <c r="T51" s="143"/>
      <c r="U51" s="144"/>
      <c r="W51" s="82"/>
    </row>
    <row r="52" spans="2:23" ht="18.75" customHeight="1" x14ac:dyDescent="0.25">
      <c r="B52" s="36"/>
      <c r="C52" s="133">
        <v>13</v>
      </c>
      <c r="D52" s="135"/>
      <c r="E52" s="136"/>
      <c r="F52" s="136"/>
      <c r="G52" s="136"/>
      <c r="H52" s="136"/>
      <c r="I52" s="136"/>
      <c r="J52" s="136"/>
      <c r="K52" s="136"/>
      <c r="L52" s="136"/>
      <c r="M52" s="133">
        <v>29</v>
      </c>
      <c r="N52" s="139" t="s">
        <v>105</v>
      </c>
      <c r="O52" s="140"/>
      <c r="P52" s="140"/>
      <c r="Q52" s="140"/>
      <c r="R52" s="140"/>
      <c r="S52" s="140"/>
      <c r="T52" s="140"/>
      <c r="U52" s="141"/>
      <c r="W52" s="82"/>
    </row>
    <row r="53" spans="2:23" ht="18.75" customHeight="1" thickBot="1" x14ac:dyDescent="0.3">
      <c r="B53" s="36"/>
      <c r="C53" s="134"/>
      <c r="D53" s="136"/>
      <c r="E53" s="136"/>
      <c r="F53" s="136"/>
      <c r="G53" s="136"/>
      <c r="H53" s="136"/>
      <c r="I53" s="136"/>
      <c r="J53" s="136"/>
      <c r="K53" s="136"/>
      <c r="L53" s="136"/>
      <c r="M53" s="134"/>
      <c r="N53" s="142"/>
      <c r="O53" s="143"/>
      <c r="P53" s="143"/>
      <c r="Q53" s="143"/>
      <c r="R53" s="143"/>
      <c r="S53" s="143"/>
      <c r="T53" s="143"/>
      <c r="U53" s="144"/>
      <c r="W53" s="82"/>
    </row>
    <row r="54" spans="2:23" ht="18.75" customHeight="1" x14ac:dyDescent="0.25">
      <c r="B54" s="36"/>
      <c r="C54" s="133">
        <v>14</v>
      </c>
      <c r="D54" s="167" t="s">
        <v>105</v>
      </c>
      <c r="E54" s="168"/>
      <c r="F54" s="168"/>
      <c r="G54" s="168"/>
      <c r="H54" s="168"/>
      <c r="I54" s="168"/>
      <c r="J54" s="168"/>
      <c r="K54" s="168"/>
      <c r="L54" s="168"/>
      <c r="M54" s="137">
        <v>30</v>
      </c>
      <c r="N54" s="139" t="s">
        <v>105</v>
      </c>
      <c r="O54" s="140"/>
      <c r="P54" s="140"/>
      <c r="Q54" s="140"/>
      <c r="R54" s="140"/>
      <c r="S54" s="140"/>
      <c r="T54" s="140"/>
      <c r="U54" s="141"/>
      <c r="W54" s="82"/>
    </row>
    <row r="55" spans="2:23" ht="18.75" customHeight="1" thickBot="1" x14ac:dyDescent="0.3">
      <c r="B55" s="36"/>
      <c r="C55" s="134"/>
      <c r="D55" s="136"/>
      <c r="E55" s="136"/>
      <c r="F55" s="136"/>
      <c r="G55" s="136"/>
      <c r="H55" s="136"/>
      <c r="I55" s="136"/>
      <c r="J55" s="136"/>
      <c r="K55" s="136"/>
      <c r="L55" s="136"/>
      <c r="M55" s="138"/>
      <c r="N55" s="142"/>
      <c r="O55" s="143"/>
      <c r="P55" s="143"/>
      <c r="Q55" s="143"/>
      <c r="R55" s="143"/>
      <c r="S55" s="143"/>
      <c r="T55" s="143"/>
      <c r="U55" s="144"/>
      <c r="W55" s="82"/>
    </row>
    <row r="56" spans="2:23" ht="18.75" customHeight="1" x14ac:dyDescent="0.25">
      <c r="B56" s="36"/>
      <c r="C56" s="133">
        <v>15</v>
      </c>
      <c r="D56" s="167" t="s">
        <v>105</v>
      </c>
      <c r="E56" s="168"/>
      <c r="F56" s="168"/>
      <c r="G56" s="168"/>
      <c r="H56" s="168"/>
      <c r="I56" s="168"/>
      <c r="J56" s="168"/>
      <c r="K56" s="168"/>
      <c r="L56" s="168"/>
      <c r="M56" s="137">
        <v>31</v>
      </c>
      <c r="N56" s="139" t="s">
        <v>105</v>
      </c>
      <c r="O56" s="140"/>
      <c r="P56" s="140"/>
      <c r="Q56" s="140"/>
      <c r="R56" s="140"/>
      <c r="S56" s="140"/>
      <c r="T56" s="140"/>
      <c r="U56" s="141"/>
      <c r="W56" s="82"/>
    </row>
    <row r="57" spans="2:23" ht="18.75" customHeight="1" thickBot="1" x14ac:dyDescent="0.3">
      <c r="B57" s="36"/>
      <c r="C57" s="134"/>
      <c r="D57" s="136"/>
      <c r="E57" s="136"/>
      <c r="F57" s="136"/>
      <c r="G57" s="136"/>
      <c r="H57" s="136"/>
      <c r="I57" s="136"/>
      <c r="J57" s="136"/>
      <c r="K57" s="136"/>
      <c r="L57" s="136"/>
      <c r="M57" s="138"/>
      <c r="N57" s="142"/>
      <c r="O57" s="143"/>
      <c r="P57" s="143"/>
      <c r="Q57" s="143"/>
      <c r="R57" s="143"/>
      <c r="S57" s="143"/>
      <c r="T57" s="143"/>
      <c r="U57" s="144"/>
      <c r="W57" s="82"/>
    </row>
    <row r="58" spans="2:23" ht="18.75" customHeight="1" x14ac:dyDescent="0.25">
      <c r="B58" s="36"/>
      <c r="C58" s="133">
        <v>16</v>
      </c>
      <c r="D58" s="167" t="s">
        <v>105</v>
      </c>
      <c r="E58" s="168"/>
      <c r="F58" s="168"/>
      <c r="G58" s="168"/>
      <c r="H58" s="168"/>
      <c r="I58" s="168"/>
      <c r="J58" s="168"/>
      <c r="K58" s="168"/>
      <c r="L58" s="168"/>
      <c r="M58" s="137"/>
      <c r="N58" s="139"/>
      <c r="O58" s="140"/>
      <c r="P58" s="140"/>
      <c r="Q58" s="140"/>
      <c r="R58" s="140"/>
      <c r="S58" s="140"/>
      <c r="T58" s="140"/>
      <c r="U58" s="141"/>
      <c r="W58" s="82"/>
    </row>
    <row r="59" spans="2:23" ht="18.75" customHeight="1" x14ac:dyDescent="0.25">
      <c r="B59" s="36"/>
      <c r="C59" s="134"/>
      <c r="D59" s="136"/>
      <c r="E59" s="136"/>
      <c r="F59" s="136"/>
      <c r="G59" s="136"/>
      <c r="H59" s="136"/>
      <c r="I59" s="136"/>
      <c r="J59" s="136"/>
      <c r="K59" s="136"/>
      <c r="L59" s="136"/>
      <c r="M59" s="138"/>
      <c r="N59" s="142"/>
      <c r="O59" s="143"/>
      <c r="P59" s="143"/>
      <c r="Q59" s="143"/>
      <c r="R59" s="143"/>
      <c r="S59" s="143"/>
      <c r="T59" s="143"/>
      <c r="U59" s="144"/>
      <c r="W59" s="82"/>
    </row>
    <row r="60" spans="2:23" x14ac:dyDescent="0.25">
      <c r="B60" s="36"/>
      <c r="C60" s="97"/>
      <c r="D60" s="98"/>
      <c r="E60" s="98"/>
      <c r="F60" s="98"/>
      <c r="G60" s="98"/>
      <c r="H60" s="98"/>
      <c r="I60" s="98"/>
      <c r="J60" s="98"/>
      <c r="K60" s="98"/>
      <c r="L60" s="98"/>
      <c r="M60" s="100"/>
      <c r="N60" s="98"/>
      <c r="O60" s="98"/>
      <c r="P60" s="98"/>
      <c r="Q60" s="98"/>
      <c r="R60" s="98"/>
      <c r="S60" s="98"/>
      <c r="T60" s="98"/>
      <c r="U60" s="98"/>
      <c r="W60" s="82"/>
    </row>
    <row r="61" spans="2:23" ht="26" x14ac:dyDescent="0.25">
      <c r="B61" s="36"/>
      <c r="C61" s="182" t="s">
        <v>38</v>
      </c>
      <c r="D61" s="183"/>
      <c r="E61" s="183"/>
      <c r="F61" s="183"/>
      <c r="G61" s="183"/>
      <c r="H61" s="183"/>
      <c r="I61" s="183"/>
      <c r="J61" s="184"/>
      <c r="K61" s="98"/>
      <c r="L61" s="157" t="s">
        <v>40</v>
      </c>
      <c r="M61" s="157"/>
      <c r="N61" s="157"/>
      <c r="O61" s="157"/>
      <c r="P61"/>
      <c r="Q61"/>
      <c r="R61"/>
      <c r="S61"/>
      <c r="T61"/>
      <c r="U61"/>
      <c r="V61"/>
      <c r="W61" s="82"/>
    </row>
    <row r="62" spans="2:23" ht="21" thickBot="1" x14ac:dyDescent="0.3">
      <c r="B62" s="36"/>
      <c r="C62" s="104" t="s">
        <v>39</v>
      </c>
      <c r="D62" s="160"/>
      <c r="E62" s="160"/>
      <c r="F62" s="160"/>
      <c r="G62" s="160"/>
      <c r="H62" s="160"/>
      <c r="I62" s="160"/>
      <c r="J62" s="178"/>
      <c r="K62" s="98"/>
      <c r="L62"/>
      <c r="M62"/>
      <c r="N62"/>
      <c r="O62"/>
      <c r="P62"/>
      <c r="Q62"/>
      <c r="R62"/>
      <c r="S62"/>
      <c r="T62"/>
      <c r="U62"/>
      <c r="V62"/>
      <c r="W62" s="82"/>
    </row>
    <row r="63" spans="2:23" x14ac:dyDescent="0.25">
      <c r="B63" s="36"/>
      <c r="C63" s="41"/>
      <c r="D63" s="20"/>
      <c r="E63" s="20"/>
      <c r="F63" s="20"/>
      <c r="G63" s="20"/>
      <c r="H63" s="20"/>
      <c r="I63" s="20"/>
      <c r="J63" s="42"/>
      <c r="K63" s="99"/>
      <c r="L63" s="170"/>
      <c r="M63" s="171"/>
      <c r="N63" s="171"/>
      <c r="O63" s="171"/>
      <c r="P63" s="171"/>
      <c r="Q63" s="171"/>
      <c r="R63" s="171"/>
      <c r="S63" s="171"/>
      <c r="T63" s="171"/>
      <c r="U63" s="171"/>
      <c r="V63" s="172"/>
      <c r="W63" s="82"/>
    </row>
    <row r="64" spans="2:23" ht="21" thickBot="1" x14ac:dyDescent="0.3">
      <c r="B64" s="36"/>
      <c r="C64" s="104" t="s">
        <v>42</v>
      </c>
      <c r="D64" s="160"/>
      <c r="E64" s="160"/>
      <c r="F64" s="160"/>
      <c r="G64" s="160"/>
      <c r="H64" s="160"/>
      <c r="I64" s="160"/>
      <c r="J64" s="178"/>
      <c r="K64" s="99"/>
      <c r="L64" s="173"/>
      <c r="M64" s="174"/>
      <c r="N64" s="174"/>
      <c r="O64" s="174"/>
      <c r="P64" s="174"/>
      <c r="Q64" s="174"/>
      <c r="R64" s="174"/>
      <c r="S64" s="174"/>
      <c r="T64" s="174"/>
      <c r="U64" s="174"/>
      <c r="V64" s="175"/>
      <c r="W64" s="82"/>
    </row>
    <row r="65" spans="2:23" x14ac:dyDescent="0.25">
      <c r="B65" s="36"/>
      <c r="C65" s="41"/>
      <c r="D65" s="20"/>
      <c r="E65" s="20"/>
      <c r="F65" s="20"/>
      <c r="G65" s="20"/>
      <c r="H65" s="20"/>
      <c r="I65" s="20"/>
      <c r="J65" s="42"/>
      <c r="K65" s="99"/>
      <c r="L65" s="173"/>
      <c r="M65" s="174"/>
      <c r="N65" s="174"/>
      <c r="O65" s="174"/>
      <c r="P65" s="174"/>
      <c r="Q65" s="174"/>
      <c r="R65" s="174"/>
      <c r="S65" s="174"/>
      <c r="T65" s="174"/>
      <c r="U65" s="174"/>
      <c r="V65" s="175"/>
      <c r="W65" s="82"/>
    </row>
    <row r="66" spans="2:23" ht="15" customHeight="1" thickBot="1" x14ac:dyDescent="0.3">
      <c r="B66" s="36"/>
      <c r="C66" s="104" t="s">
        <v>43</v>
      </c>
      <c r="D66" s="160"/>
      <c r="E66" s="160"/>
      <c r="F66" s="160"/>
      <c r="G66" s="160"/>
      <c r="H66" s="160"/>
      <c r="I66" s="160"/>
      <c r="J66" s="178"/>
      <c r="K66" s="99"/>
      <c r="L66" s="176"/>
      <c r="M66" s="177"/>
      <c r="N66" s="177"/>
      <c r="O66" s="177"/>
      <c r="P66" s="177"/>
      <c r="Q66" s="177"/>
      <c r="R66" s="174"/>
      <c r="S66" s="177"/>
      <c r="T66" s="177"/>
      <c r="U66" s="177"/>
      <c r="V66" s="175"/>
      <c r="W66" s="82"/>
    </row>
    <row r="67" spans="2:23" ht="60" customHeight="1" thickBot="1" x14ac:dyDescent="0.3">
      <c r="B67" s="36"/>
      <c r="C67" s="179" t="s">
        <v>44</v>
      </c>
      <c r="D67" s="180"/>
      <c r="E67" s="180"/>
      <c r="F67" s="180"/>
      <c r="G67" s="180"/>
      <c r="H67" s="180"/>
      <c r="I67" s="180"/>
      <c r="J67" s="181"/>
      <c r="K67" s="99"/>
      <c r="L67" s="169" t="s">
        <v>45</v>
      </c>
      <c r="M67" s="169"/>
      <c r="N67" s="169"/>
      <c r="O67" s="169"/>
      <c r="P67" s="47"/>
      <c r="Q67" s="93" t="s">
        <v>46</v>
      </c>
      <c r="R67" s="105">
        <v>8</v>
      </c>
      <c r="S67" s="98"/>
      <c r="T67" s="98"/>
      <c r="U67" s="93" t="s">
        <v>47</v>
      </c>
      <c r="V67" s="91">
        <f>IF(R67&gt;0, V25/R67, " ")</f>
        <v>22</v>
      </c>
      <c r="W67" s="82"/>
    </row>
    <row r="68" spans="2:23" ht="20.25" customHeight="1" thickBot="1" x14ac:dyDescent="0.3">
      <c r="B68" s="87"/>
      <c r="C68" s="88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90"/>
    </row>
    <row r="69" spans="2:23" x14ac:dyDescent="0.25">
      <c r="C69" s="52"/>
    </row>
    <row r="70" spans="2:23" x14ac:dyDescent="0.25">
      <c r="C70" s="52"/>
    </row>
    <row r="71" spans="2:23" x14ac:dyDescent="0.25">
      <c r="C71" s="52"/>
    </row>
    <row r="72" spans="2:23" x14ac:dyDescent="0.25">
      <c r="C72" s="52"/>
    </row>
    <row r="73" spans="2:23" x14ac:dyDescent="0.25">
      <c r="C73" s="52"/>
    </row>
    <row r="74" spans="2:23" x14ac:dyDescent="0.25">
      <c r="C74" s="52"/>
    </row>
  </sheetData>
  <sheetProtection formatRows="0" insertRows="0" deleteRows="0" selectLockedCells="1"/>
  <mergeCells count="88">
    <mergeCell ref="N34:V35"/>
    <mergeCell ref="N36:V37"/>
    <mergeCell ref="N38:V39"/>
    <mergeCell ref="N40:V41"/>
    <mergeCell ref="N42:V43"/>
    <mergeCell ref="L67:O67"/>
    <mergeCell ref="L63:V66"/>
    <mergeCell ref="L61:O61"/>
    <mergeCell ref="D62:J62"/>
    <mergeCell ref="D64:J64"/>
    <mergeCell ref="D66:J66"/>
    <mergeCell ref="C67:J67"/>
    <mergeCell ref="C61:J61"/>
    <mergeCell ref="C36:C37"/>
    <mergeCell ref="D36:L37"/>
    <mergeCell ref="M36:M37"/>
    <mergeCell ref="C38:C39"/>
    <mergeCell ref="D38:L39"/>
    <mergeCell ref="M38:M39"/>
    <mergeCell ref="N28:U29"/>
    <mergeCell ref="C34:C35"/>
    <mergeCell ref="D34:L35"/>
    <mergeCell ref="M34:M35"/>
    <mergeCell ref="C30:C31"/>
    <mergeCell ref="D30:L31"/>
    <mergeCell ref="M30:M31"/>
    <mergeCell ref="N30:U31"/>
    <mergeCell ref="C32:C33"/>
    <mergeCell ref="D32:L33"/>
    <mergeCell ref="M32:M33"/>
    <mergeCell ref="N32:U33"/>
    <mergeCell ref="C28:C29"/>
    <mergeCell ref="D28:L29"/>
    <mergeCell ref="M28:M29"/>
    <mergeCell ref="D25:H25"/>
    <mergeCell ref="D27:L27"/>
    <mergeCell ref="N2:W2"/>
    <mergeCell ref="U7:U8"/>
    <mergeCell ref="O7:T7"/>
    <mergeCell ref="K8:T8"/>
    <mergeCell ref="N4:W4"/>
    <mergeCell ref="K9:O9"/>
    <mergeCell ref="N3:W3"/>
    <mergeCell ref="Q25:U25"/>
    <mergeCell ref="D7:I7"/>
    <mergeCell ref="D8:I8"/>
    <mergeCell ref="C18:D18"/>
    <mergeCell ref="D9:I9"/>
    <mergeCell ref="C11:D11"/>
    <mergeCell ref="N27:U27"/>
    <mergeCell ref="C42:C43"/>
    <mergeCell ref="D42:L43"/>
    <mergeCell ref="M42:M43"/>
    <mergeCell ref="C40:C41"/>
    <mergeCell ref="D40:L41"/>
    <mergeCell ref="M40:M41"/>
    <mergeCell ref="C44:C45"/>
    <mergeCell ref="D44:L45"/>
    <mergeCell ref="M44:M45"/>
    <mergeCell ref="N44:U45"/>
    <mergeCell ref="C46:C47"/>
    <mergeCell ref="D46:L47"/>
    <mergeCell ref="M46:M47"/>
    <mergeCell ref="N46:U47"/>
    <mergeCell ref="C48:C49"/>
    <mergeCell ref="D48:L49"/>
    <mergeCell ref="M48:M49"/>
    <mergeCell ref="N48:U49"/>
    <mergeCell ref="C50:C51"/>
    <mergeCell ref="D50:L51"/>
    <mergeCell ref="M50:M51"/>
    <mergeCell ref="N50:U51"/>
    <mergeCell ref="C52:C53"/>
    <mergeCell ref="D52:L53"/>
    <mergeCell ref="M52:M53"/>
    <mergeCell ref="N52:U53"/>
    <mergeCell ref="C54:C55"/>
    <mergeCell ref="D54:L55"/>
    <mergeCell ref="M54:M55"/>
    <mergeCell ref="N54:U55"/>
    <mergeCell ref="C56:C57"/>
    <mergeCell ref="D56:L57"/>
    <mergeCell ref="M56:M57"/>
    <mergeCell ref="N56:U57"/>
    <mergeCell ref="N58:U59"/>
    <mergeCell ref="C58:C59"/>
    <mergeCell ref="D58:L59"/>
    <mergeCell ref="M58:M59"/>
  </mergeCells>
  <phoneticPr fontId="0" type="noConversion"/>
  <dataValidations count="4">
    <dataValidation type="whole" allowBlank="1" showInputMessage="1" showErrorMessage="1" errorTitle="Error" error="This is not a S.i contract number.  Please try again or leave blank." promptTitle="S.i. Contract Number" prompt="Please enter your 5 or 6 digit S.i. Systems contract number." sqref="D9:I9" xr:uid="{00000000-0002-0000-0000-000000000000}">
      <formula1>20000</formula1>
      <formula2>999999</formula2>
    </dataValidation>
    <dataValidation allowBlank="1" showInputMessage="1" showErrorMessage="1" promptTitle="Overwrite Cell?" prompt="The formula in this field will be replaced if you type in the cell." sqref="C22 C19:C20" xr:uid="{00000000-0002-0000-0000-000001000000}"/>
    <dataValidation allowBlank="1" showInputMessage="1" showErrorMessage="1" promptTitle="QP Selection" prompt="Delete this letter to select YES for QP.  _x000a__x000a_If your choice is unclear, the default selection is No." sqref="Q9" xr:uid="{00000000-0002-0000-0000-000002000000}"/>
    <dataValidation allowBlank="1" showInputMessage="1" showErrorMessage="1" promptTitle="QP Selection" prompt="Delete this letter to select NO to QP.  _x000a__x000a_If your choice is unclear, the default selection is No." sqref="P9" xr:uid="{00000000-0002-0000-0000-000003000000}"/>
  </dataValidations>
  <printOptions horizontalCentered="1" verticalCentered="1"/>
  <pageMargins left="0" right="0" top="0" bottom="0" header="0" footer="0"/>
  <pageSetup scale="51" orientation="landscape" r:id="rId1"/>
  <headerFooter alignWithMargins="0"/>
  <ignoredErrors>
    <ignoredError sqref="C22 C19" unlockedFormula="1"/>
    <ignoredError sqref="V16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6" id="{8B14FC4B-BFB1-4BD5-B896-5B24ACE1C5F0}">
            <xm:f>NOT(ISERROR(VLOOKUP(E$11,'Nat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207" id="{E2CD3415-1C89-4DD8-8271-B08146B5B2BE}">
            <xm:f>OR(VLOOKUP(E$11,Dates!$B:$C,2,FALSE)="Saturday",VLOOKUP(E$11,Dates!$B:$C,2,FALSE)="Sunday")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E12:S15</xm:sqref>
        </x14:conditionalFormatting>
        <x14:conditionalFormatting xmlns:xm="http://schemas.microsoft.com/office/excel/2006/main">
          <x14:cfRule type="expression" priority="62" id="{12A63CEF-47DD-4120-A488-77A26E958E6D}">
            <xm:f>NOT(ISERROR(VLOOKUP(G$18,'Nat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63" id="{8D1281F6-18FB-42F8-9D6B-F23924E99F7D}">
            <xm:f>OR(VLOOKUP(G$18,Dates!$B:$C,2,FALSE)="Saturday",VLOOKUP(G$18,Dates!$B:$C,2,FALSE)="Sunday")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G19:H22 N19:O22</xm:sqref>
        </x14:conditionalFormatting>
        <x14:conditionalFormatting xmlns:xm="http://schemas.microsoft.com/office/excel/2006/main">
          <x14:cfRule type="expression" priority="23" id="{F5404185-62D6-C343-A428-D8D178C786C5}">
            <xm:f>NOT(ISERROR(VLOOKUP(E$11,'Nat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24" id="{25997AFC-C54C-1D47-BB8E-76DE3D0C84A4}">
            <xm:f>OR(VLOOKUP(E$11,Dates!$B:$C,2,FALSE)="Saturday",VLOOKUP(E$11,Dates!$B:$C,2,FALSE)="Sunday")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E19:E22</xm:sqref>
        </x14:conditionalFormatting>
        <x14:conditionalFormatting xmlns:xm="http://schemas.microsoft.com/office/excel/2006/main">
          <x14:cfRule type="expression" priority="21" id="{20843D44-F2FE-7D4C-BEFD-EAEE1BD99EE2}">
            <xm:f>NOT(ISERROR(VLOOKUP(F$11,'Nat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22" id="{6DD43C81-E2C4-504D-8263-5D54C38E7F8A}">
            <xm:f>OR(VLOOKUP(F$11,Dates!$B:$C,2,FALSE)="Saturday",VLOOKUP(F$11,Dates!$B:$C,2,FALSE)="Sunday")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F19:F22</xm:sqref>
        </x14:conditionalFormatting>
        <x14:conditionalFormatting xmlns:xm="http://schemas.microsoft.com/office/excel/2006/main">
          <x14:cfRule type="expression" priority="19" id="{C91357C7-531E-7647-B6A4-F27F1B36F483}">
            <xm:f>NOT(ISERROR(VLOOKUP(I$11,'Nat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20" id="{978AD7AC-D924-0E47-A0E7-36C30320774F}">
            <xm:f>OR(VLOOKUP(I$11,Dates!$B:$C,2,FALSE)="Saturday",VLOOKUP(I$11,Dates!$B:$C,2,FALSE)="Sunday")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I19:I22</xm:sqref>
        </x14:conditionalFormatting>
        <x14:conditionalFormatting xmlns:xm="http://schemas.microsoft.com/office/excel/2006/main">
          <x14:cfRule type="expression" priority="17" id="{FD38398A-F1C6-D444-801A-29B07ABB6E02}">
            <xm:f>NOT(ISERROR(VLOOKUP(J$11,'Nat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18" id="{76B362FF-B5D9-E344-A238-72F98BEA9D58}">
            <xm:f>OR(VLOOKUP(J$11,Dates!$B:$C,2,FALSE)="Saturday",VLOOKUP(J$11,Dates!$B:$C,2,FALSE)="Sunday")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J19:J22</xm:sqref>
        </x14:conditionalFormatting>
        <x14:conditionalFormatting xmlns:xm="http://schemas.microsoft.com/office/excel/2006/main">
          <x14:cfRule type="expression" priority="15" id="{B7602BF7-EF86-E34B-97DB-29386B14509B}">
            <xm:f>NOT(ISERROR(VLOOKUP(K$11,'Nat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16" id="{9D2FCADC-31DD-774E-A4B3-26F10FDEB83F}">
            <xm:f>OR(VLOOKUP(K$11,Dates!$B:$C,2,FALSE)="Saturday",VLOOKUP(K$11,Dates!$B:$C,2,FALSE)="Sunday")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K19:K22</xm:sqref>
        </x14:conditionalFormatting>
        <x14:conditionalFormatting xmlns:xm="http://schemas.microsoft.com/office/excel/2006/main">
          <x14:cfRule type="expression" priority="13" id="{F1F2E96C-5BD2-DF49-AEE0-FC321D24C55B}">
            <xm:f>NOT(ISERROR(VLOOKUP(L$11,'Nat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14" id="{660238D2-3555-624C-B957-58D2FB3C604B}">
            <xm:f>OR(VLOOKUP(L$11,Dates!$B:$C,2,FALSE)="Saturday",VLOOKUP(L$11,Dates!$B:$C,2,FALSE)="Sunday")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L19:L22</xm:sqref>
        </x14:conditionalFormatting>
        <x14:conditionalFormatting xmlns:xm="http://schemas.microsoft.com/office/excel/2006/main">
          <x14:cfRule type="expression" priority="11" id="{3CD6B08C-1F9A-7A4C-87B5-900F1F832843}">
            <xm:f>NOT(ISERROR(VLOOKUP(M$11,'Nat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12" id="{473A4787-5061-3E44-B1D2-138A191CE11A}">
            <xm:f>OR(VLOOKUP(M$11,Dates!$B:$C,2,FALSE)="Saturday",VLOOKUP(M$11,Dates!$B:$C,2,FALSE)="Sunday")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M19:M22</xm:sqref>
        </x14:conditionalFormatting>
        <x14:conditionalFormatting xmlns:xm="http://schemas.microsoft.com/office/excel/2006/main">
          <x14:cfRule type="expression" priority="9" id="{05767C0E-CD8C-224B-9C30-2FEF193F0EC3}">
            <xm:f>NOT(ISERROR(VLOOKUP(P$11,'Nat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10" id="{EDF50EF3-3496-E74E-A05D-4E09AD85AE25}">
            <xm:f>OR(VLOOKUP(P$11,Dates!$B:$C,2,FALSE)="Saturday",VLOOKUP(P$11,Dates!$B:$C,2,FALSE)="Sunday")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P19:P22</xm:sqref>
        </x14:conditionalFormatting>
        <x14:conditionalFormatting xmlns:xm="http://schemas.microsoft.com/office/excel/2006/main">
          <x14:cfRule type="expression" priority="7" id="{62A9F4C3-486F-6B46-B3BC-103BB1A7D5EE}">
            <xm:f>NOT(ISERROR(VLOOKUP(Q$11,'Nat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8" id="{C1C03BEA-5849-1149-A335-5C7F9BE2AE42}">
            <xm:f>OR(VLOOKUP(Q$11,Dates!$B:$C,2,FALSE)="Saturday",VLOOKUP(Q$11,Dates!$B:$C,2,FALSE)="Sunday")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Q19:Q22</xm:sqref>
        </x14:conditionalFormatting>
        <x14:conditionalFormatting xmlns:xm="http://schemas.microsoft.com/office/excel/2006/main">
          <x14:cfRule type="expression" priority="5" id="{26853AB5-B65A-EB47-A723-D1FDE3BFEFBF}">
            <xm:f>NOT(ISERROR(VLOOKUP(R$11,'Nat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6" id="{98519A7E-C41F-254B-9C4F-35B68E5D883F}">
            <xm:f>OR(VLOOKUP(R$11,Dates!$B:$C,2,FALSE)="Saturday",VLOOKUP(R$11,Dates!$B:$C,2,FALSE)="Sunday")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R19:R22</xm:sqref>
        </x14:conditionalFormatting>
        <x14:conditionalFormatting xmlns:xm="http://schemas.microsoft.com/office/excel/2006/main">
          <x14:cfRule type="expression" priority="3" id="{7E95A277-59FE-FB4C-8E50-4B8527AE2638}">
            <xm:f>NOT(ISERROR(VLOOKUP(S$11,'Nat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4" id="{5985CA96-4205-7B47-9788-678778802C2E}">
            <xm:f>OR(VLOOKUP(S$11,Dates!$B:$C,2,FALSE)="Saturday",VLOOKUP(S$11,Dates!$B:$C,2,FALSE)="Sunday")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S19:S22</xm:sqref>
        </x14:conditionalFormatting>
        <x14:conditionalFormatting xmlns:xm="http://schemas.microsoft.com/office/excel/2006/main">
          <x14:cfRule type="expression" priority="1" id="{9BC1F112-2FB4-CA41-9181-096594E90E2E}">
            <xm:f>NOT(ISERROR(VLOOKUP(T$11,'Nat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2" id="{EF4712A6-1592-374D-AC66-9323E09EC510}">
            <xm:f>OR(VLOOKUP(T$11,Dates!$B:$C,2,FALSE)="Saturday",VLOOKUP(T$11,Dates!$B:$C,2,FALSE)="Sunday")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T19:T22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'Month drop down'!$A$1:$A$12</xm:f>
          </x14:formula1>
          <xm:sqref>O7:T7</xm:sqref>
        </x14:dataValidation>
        <x14:dataValidation type="list" allowBlank="1" showInputMessage="1" showErrorMessage="1" xr:uid="{A342E0C4-48AC-4A1F-9367-0F821D6DCD58}">
          <x14:formula1>
            <xm:f>'Time Dropdown'!$B$3:$B$98</xm:f>
          </x14:formula1>
          <xm:sqref>E12:S15 E19:T22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IV70"/>
  <sheetViews>
    <sheetView showGridLines="0" zoomScale="50" zoomScaleNormal="50" workbookViewId="0">
      <selection activeCell="O7" sqref="O7:T7"/>
    </sheetView>
  </sheetViews>
  <sheetFormatPr baseColWidth="10" defaultColWidth="0" defaultRowHeight="15" customHeight="1" x14ac:dyDescent="0.25"/>
  <cols>
    <col min="1" max="1" width="1.1640625" style="7" customWidth="1"/>
    <col min="2" max="2" width="2.6640625" style="7" customWidth="1"/>
    <col min="3" max="3" width="20" style="7" customWidth="1"/>
    <col min="4" max="4" width="23.83203125" style="7" customWidth="1"/>
    <col min="5" max="20" width="13.1640625" style="7" customWidth="1"/>
    <col min="21" max="21" width="6.6640625" style="7" customWidth="1"/>
    <col min="22" max="22" width="18.1640625" style="7" customWidth="1"/>
    <col min="23" max="23" width="8.83203125" style="7" customWidth="1"/>
    <col min="24" max="24" width="2.5" style="7" customWidth="1"/>
    <col min="25" max="256" width="0" style="7" hidden="1" customWidth="1"/>
    <col min="257" max="16384" width="9.1640625" style="7" hidden="1"/>
  </cols>
  <sheetData>
    <row r="1" spans="2:23" ht="21" thickBot="1" x14ac:dyDescent="0.3">
      <c r="E1" s="8"/>
      <c r="F1" s="8"/>
      <c r="G1" s="8"/>
      <c r="H1" s="8"/>
      <c r="I1" s="8"/>
      <c r="L1" s="9"/>
      <c r="M1" s="9"/>
    </row>
    <row r="2" spans="2:23" ht="20" x14ac:dyDescent="0.25">
      <c r="B2" s="78"/>
      <c r="C2" s="80"/>
      <c r="D2" s="80"/>
      <c r="E2" s="80"/>
      <c r="F2" s="80"/>
      <c r="G2" s="80"/>
      <c r="H2" s="80"/>
      <c r="I2" s="80"/>
      <c r="J2" s="79"/>
      <c r="K2" s="79"/>
      <c r="L2" s="106"/>
      <c r="M2" s="106"/>
      <c r="N2" s="106"/>
      <c r="O2" s="106"/>
      <c r="P2" s="106"/>
      <c r="Q2" s="106"/>
      <c r="R2" s="106"/>
      <c r="S2" s="106"/>
      <c r="T2" s="106"/>
      <c r="U2" s="79"/>
      <c r="V2" s="79"/>
      <c r="W2" s="107"/>
    </row>
    <row r="3" spans="2:23" ht="20" x14ac:dyDescent="0.25">
      <c r="B3" s="36"/>
      <c r="E3" s="8"/>
      <c r="F3" s="8"/>
      <c r="G3" s="8"/>
      <c r="H3" s="8"/>
      <c r="I3" s="8"/>
      <c r="J3" s="10"/>
      <c r="K3" s="10"/>
      <c r="V3" s="7" t="s">
        <v>30</v>
      </c>
      <c r="W3" s="82"/>
    </row>
    <row r="4" spans="2:23" ht="20" x14ac:dyDescent="0.25">
      <c r="B4" s="36"/>
      <c r="C4" s="8"/>
      <c r="D4" s="8"/>
      <c r="E4" s="8"/>
      <c r="F4" s="8"/>
      <c r="G4" s="8"/>
      <c r="H4" s="8"/>
      <c r="I4" s="8"/>
      <c r="J4" s="10"/>
      <c r="W4" s="82"/>
    </row>
    <row r="5" spans="2:23" ht="20" x14ac:dyDescent="0.25">
      <c r="B5" s="36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82"/>
    </row>
    <row r="6" spans="2:23" ht="20" x14ac:dyDescent="0.25">
      <c r="B6" s="3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82"/>
    </row>
    <row r="7" spans="2:23" ht="35" customHeight="1" thickBot="1" x14ac:dyDescent="0.35">
      <c r="B7" s="36"/>
      <c r="C7" s="92" t="s">
        <v>62</v>
      </c>
      <c r="D7" s="160"/>
      <c r="E7" s="160"/>
      <c r="F7" s="160"/>
      <c r="G7" s="160"/>
      <c r="H7" s="160"/>
      <c r="I7" s="160"/>
      <c r="L7" s="9"/>
      <c r="M7" s="9" t="s">
        <v>32</v>
      </c>
      <c r="O7" s="185" t="s">
        <v>83</v>
      </c>
      <c r="P7" s="185"/>
      <c r="Q7" s="185"/>
      <c r="R7" s="185"/>
      <c r="S7" s="185"/>
      <c r="T7" s="185"/>
      <c r="U7" s="152"/>
      <c r="V7" s="53"/>
      <c r="W7" s="82"/>
    </row>
    <row r="8" spans="2:23" ht="35" customHeight="1" thickBot="1" x14ac:dyDescent="0.3">
      <c r="B8" s="36"/>
      <c r="C8" s="92" t="s">
        <v>60</v>
      </c>
      <c r="D8" s="160"/>
      <c r="E8" s="160"/>
      <c r="F8" s="160"/>
      <c r="G8" s="160"/>
      <c r="H8" s="160"/>
      <c r="I8" s="160"/>
      <c r="K8" s="154" t="str">
        <f>IF(ISERROR(VLOOKUP(O7,'Nat Stat Hol'!A:D,1,FALSE)),"","Stat Holiday Reminder: "&amp;VLOOKUP($O$7,'Nat Stat Hol'!A:D,4,FALSE)&amp;" is this period")</f>
        <v/>
      </c>
      <c r="L8" s="154"/>
      <c r="M8" s="154"/>
      <c r="N8" s="154"/>
      <c r="O8" s="154"/>
      <c r="P8" s="154"/>
      <c r="Q8" s="154"/>
      <c r="R8" s="154"/>
      <c r="S8" s="154"/>
      <c r="T8" s="154"/>
      <c r="U8" s="152"/>
      <c r="V8" s="8"/>
      <c r="W8" s="82"/>
    </row>
    <row r="9" spans="2:23" ht="35" customHeight="1" thickBot="1" x14ac:dyDescent="0.3">
      <c r="B9" s="36"/>
      <c r="C9" s="92" t="s">
        <v>61</v>
      </c>
      <c r="D9" s="160"/>
      <c r="E9" s="160"/>
      <c r="F9" s="160"/>
      <c r="G9" s="160"/>
      <c r="H9" s="160"/>
      <c r="I9" s="160"/>
      <c r="K9" s="9"/>
      <c r="L9" s="9"/>
      <c r="M9" s="9"/>
      <c r="N9" s="9"/>
      <c r="O9" s="9"/>
      <c r="P9" s="21"/>
      <c r="Q9" s="21"/>
      <c r="R9" s="9"/>
      <c r="S9" s="9"/>
      <c r="T9" s="9"/>
      <c r="W9" s="82"/>
    </row>
    <row r="10" spans="2:23" ht="18" customHeight="1" x14ac:dyDescent="0.25">
      <c r="B10" s="36"/>
      <c r="C10" s="9"/>
      <c r="D10" s="20"/>
      <c r="E10" s="20"/>
      <c r="F10" s="20"/>
      <c r="G10" s="20"/>
      <c r="H10" s="20"/>
      <c r="I10" s="20"/>
      <c r="K10" s="18"/>
      <c r="L10" s="18"/>
      <c r="M10" s="18"/>
      <c r="N10" s="18"/>
      <c r="O10" s="18"/>
      <c r="P10" s="21"/>
      <c r="Q10" s="21"/>
      <c r="R10" s="9"/>
      <c r="S10" s="9"/>
      <c r="T10" s="9"/>
      <c r="W10" s="82"/>
    </row>
    <row r="11" spans="2:23" ht="22" thickBot="1" x14ac:dyDescent="0.3">
      <c r="B11" s="36"/>
      <c r="C11" s="22" t="s">
        <v>58</v>
      </c>
      <c r="D11" s="22" t="s">
        <v>65</v>
      </c>
      <c r="E11" s="23">
        <f>VLOOKUP(O7,'Month drop down'!C:E,3,0)</f>
        <v>45717</v>
      </c>
      <c r="F11" s="23">
        <f>E11+1</f>
        <v>45718</v>
      </c>
      <c r="G11" s="23">
        <f t="shared" ref="G11:S11" si="0">F11+1</f>
        <v>45719</v>
      </c>
      <c r="H11" s="23">
        <f t="shared" si="0"/>
        <v>45720</v>
      </c>
      <c r="I11" s="23">
        <f t="shared" si="0"/>
        <v>45721</v>
      </c>
      <c r="J11" s="23">
        <f t="shared" si="0"/>
        <v>45722</v>
      </c>
      <c r="K11" s="23">
        <f t="shared" si="0"/>
        <v>45723</v>
      </c>
      <c r="L11" s="23">
        <f t="shared" si="0"/>
        <v>45724</v>
      </c>
      <c r="M11" s="23">
        <f t="shared" si="0"/>
        <v>45725</v>
      </c>
      <c r="N11" s="23">
        <f t="shared" si="0"/>
        <v>45726</v>
      </c>
      <c r="O11" s="23">
        <f t="shared" si="0"/>
        <v>45727</v>
      </c>
      <c r="P11" s="23">
        <f t="shared" si="0"/>
        <v>45728</v>
      </c>
      <c r="Q11" s="23">
        <f t="shared" si="0"/>
        <v>45729</v>
      </c>
      <c r="R11" s="23">
        <f t="shared" si="0"/>
        <v>45730</v>
      </c>
      <c r="S11" s="23">
        <f t="shared" si="0"/>
        <v>45731</v>
      </c>
      <c r="U11" s="11"/>
      <c r="V11" s="24" t="s">
        <v>36</v>
      </c>
      <c r="W11" s="82"/>
    </row>
    <row r="12" spans="2:23" ht="35" customHeight="1" x14ac:dyDescent="0.25">
      <c r="B12" s="36"/>
      <c r="C12" s="72" t="s">
        <v>56</v>
      </c>
      <c r="D12" s="132">
        <v>0.35416666666666669</v>
      </c>
      <c r="E12" s="117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9"/>
      <c r="V12" s="75"/>
      <c r="W12" s="86"/>
    </row>
    <row r="13" spans="2:23" ht="35" customHeight="1" x14ac:dyDescent="0.25">
      <c r="B13" s="36"/>
      <c r="C13" s="109"/>
      <c r="D13" s="128">
        <v>0.5</v>
      </c>
      <c r="E13" s="120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2"/>
      <c r="V13" s="75"/>
      <c r="W13" s="86"/>
    </row>
    <row r="14" spans="2:23" ht="35" customHeight="1" x14ac:dyDescent="0.25">
      <c r="B14" s="36"/>
      <c r="C14" s="71"/>
      <c r="D14" s="128">
        <v>0.54166666666666663</v>
      </c>
      <c r="E14" s="120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2"/>
      <c r="V14" s="75"/>
      <c r="W14" s="86"/>
    </row>
    <row r="15" spans="2:23" ht="35" customHeight="1" thickBot="1" x14ac:dyDescent="0.3">
      <c r="B15" s="36"/>
      <c r="C15" s="113" t="s">
        <v>57</v>
      </c>
      <c r="D15" s="129">
        <v>0.70833333333333337</v>
      </c>
      <c r="E15" s="123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5"/>
      <c r="V15" s="76" t="s">
        <v>59</v>
      </c>
      <c r="W15" s="86"/>
    </row>
    <row r="16" spans="2:23" ht="35" customHeight="1" thickBot="1" x14ac:dyDescent="0.3">
      <c r="B16" s="36"/>
      <c r="C16" s="114" t="s">
        <v>37</v>
      </c>
      <c r="D16" s="130">
        <v>7.5</v>
      </c>
      <c r="E16" s="112">
        <f>CONVERT((E13-E12),"day","hr")+CONVERT((E15-E14),"day","hr")</f>
        <v>0</v>
      </c>
      <c r="F16" s="112">
        <f t="shared" ref="F16:S16" si="1">CONVERT((F13-F12),"day","hr")+CONVERT((F15-F14),"day","hr")</f>
        <v>0</v>
      </c>
      <c r="G16" s="112">
        <f t="shared" si="1"/>
        <v>0</v>
      </c>
      <c r="H16" s="112">
        <f t="shared" si="1"/>
        <v>0</v>
      </c>
      <c r="I16" s="112">
        <f t="shared" si="1"/>
        <v>0</v>
      </c>
      <c r="J16" s="112">
        <f t="shared" si="1"/>
        <v>0</v>
      </c>
      <c r="K16" s="112">
        <f t="shared" si="1"/>
        <v>0</v>
      </c>
      <c r="L16" s="112">
        <f t="shared" si="1"/>
        <v>0</v>
      </c>
      <c r="M16" s="112">
        <f t="shared" si="1"/>
        <v>0</v>
      </c>
      <c r="N16" s="112">
        <f t="shared" si="1"/>
        <v>0</v>
      </c>
      <c r="O16" s="112">
        <f t="shared" si="1"/>
        <v>0</v>
      </c>
      <c r="P16" s="112">
        <f t="shared" si="1"/>
        <v>0</v>
      </c>
      <c r="Q16" s="112">
        <f t="shared" si="1"/>
        <v>0</v>
      </c>
      <c r="R16" s="112">
        <f t="shared" si="1"/>
        <v>0</v>
      </c>
      <c r="S16" s="112">
        <f t="shared" si="1"/>
        <v>0</v>
      </c>
      <c r="T16" s="36"/>
      <c r="U16" s="9"/>
      <c r="V16" s="91">
        <f>SUM(E16:S16)</f>
        <v>0</v>
      </c>
      <c r="W16" s="86"/>
    </row>
    <row r="17" spans="2:23" ht="35" customHeight="1" x14ac:dyDescent="0.25">
      <c r="B17" s="36"/>
      <c r="C17" s="73"/>
      <c r="D17" s="73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U17" s="9"/>
      <c r="V17" s="76"/>
      <c r="W17" s="83"/>
    </row>
    <row r="18" spans="2:23" ht="20" x14ac:dyDescent="0.25">
      <c r="B18" s="3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W18" s="82"/>
    </row>
    <row r="19" spans="2:23" ht="22" thickBot="1" x14ac:dyDescent="0.3">
      <c r="B19" s="36"/>
      <c r="C19" s="22" t="s">
        <v>58</v>
      </c>
      <c r="D19" s="22" t="s">
        <v>65</v>
      </c>
      <c r="E19" s="23">
        <f>S11+1</f>
        <v>45732</v>
      </c>
      <c r="F19" s="23">
        <f>E19+1</f>
        <v>45733</v>
      </c>
      <c r="G19" s="23">
        <f t="shared" ref="G19:R19" si="2">F19+1</f>
        <v>45734</v>
      </c>
      <c r="H19" s="23">
        <f t="shared" si="2"/>
        <v>45735</v>
      </c>
      <c r="I19" s="23">
        <f t="shared" si="2"/>
        <v>45736</v>
      </c>
      <c r="J19" s="23">
        <f t="shared" si="2"/>
        <v>45737</v>
      </c>
      <c r="K19" s="23">
        <f t="shared" si="2"/>
        <v>45738</v>
      </c>
      <c r="L19" s="23">
        <f t="shared" si="2"/>
        <v>45739</v>
      </c>
      <c r="M19" s="23">
        <f t="shared" si="2"/>
        <v>45740</v>
      </c>
      <c r="N19" s="23">
        <f t="shared" si="2"/>
        <v>45741</v>
      </c>
      <c r="O19" s="23">
        <f t="shared" si="2"/>
        <v>45742</v>
      </c>
      <c r="P19" s="23">
        <f t="shared" si="2"/>
        <v>45743</v>
      </c>
      <c r="Q19" s="23">
        <f t="shared" si="2"/>
        <v>45744</v>
      </c>
      <c r="R19" s="23">
        <f t="shared" si="2"/>
        <v>45745</v>
      </c>
      <c r="S19" s="23">
        <f t="shared" ref="S19" si="3">R19+1</f>
        <v>45746</v>
      </c>
      <c r="T19" s="23">
        <f t="shared" ref="T19" si="4">S19+1</f>
        <v>45747</v>
      </c>
      <c r="U19" s="8"/>
      <c r="V19" s="24" t="s">
        <v>36</v>
      </c>
      <c r="W19" s="82"/>
    </row>
    <row r="20" spans="2:23" ht="35" customHeight="1" x14ac:dyDescent="0.25">
      <c r="B20" s="36"/>
      <c r="C20" s="72" t="s">
        <v>56</v>
      </c>
      <c r="D20" s="132">
        <v>0.35416666666666669</v>
      </c>
      <c r="E20" s="117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  <c r="U20" s="8"/>
      <c r="V20" s="75"/>
      <c r="W20" s="82"/>
    </row>
    <row r="21" spans="2:23" ht="35" customHeight="1" x14ac:dyDescent="0.25">
      <c r="B21" s="36"/>
      <c r="C21" s="109"/>
      <c r="D21" s="128">
        <v>0.5</v>
      </c>
      <c r="E21" s="120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2"/>
      <c r="U21" s="8"/>
      <c r="V21" s="75"/>
      <c r="W21" s="82"/>
    </row>
    <row r="22" spans="2:23" ht="35" customHeight="1" x14ac:dyDescent="0.25">
      <c r="B22" s="36"/>
      <c r="C22" s="111"/>
      <c r="D22" s="128">
        <v>0.54166666666666663</v>
      </c>
      <c r="E22" s="120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2"/>
      <c r="U22" s="8"/>
      <c r="V22" s="75"/>
      <c r="W22" s="82"/>
    </row>
    <row r="23" spans="2:23" ht="35" customHeight="1" thickBot="1" x14ac:dyDescent="0.3">
      <c r="B23" s="36"/>
      <c r="C23" s="113" t="s">
        <v>57</v>
      </c>
      <c r="D23" s="129">
        <v>0.70833333333333337</v>
      </c>
      <c r="E23" s="123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5"/>
      <c r="U23" s="8"/>
      <c r="V23" s="76" t="s">
        <v>59</v>
      </c>
      <c r="W23" s="82"/>
    </row>
    <row r="24" spans="2:23" ht="35" customHeight="1" thickBot="1" x14ac:dyDescent="0.3">
      <c r="B24" s="36"/>
      <c r="C24" s="114" t="s">
        <v>37</v>
      </c>
      <c r="D24" s="130">
        <v>7.5</v>
      </c>
      <c r="E24" s="112">
        <f>CONVERT((E21-E20),"day","hr")+CONVERT((E23-E22),"day","hr")</f>
        <v>0</v>
      </c>
      <c r="F24" s="112">
        <f t="shared" ref="F24:T24" si="5">CONVERT((F21-F20),"day","hr")+CONVERT((F23-F22),"day","hr")</f>
        <v>0</v>
      </c>
      <c r="G24" s="112">
        <f t="shared" si="5"/>
        <v>0</v>
      </c>
      <c r="H24" s="112">
        <f t="shared" si="5"/>
        <v>0</v>
      </c>
      <c r="I24" s="112">
        <f t="shared" si="5"/>
        <v>0</v>
      </c>
      <c r="J24" s="112">
        <f t="shared" si="5"/>
        <v>0</v>
      </c>
      <c r="K24" s="112">
        <f t="shared" si="5"/>
        <v>0</v>
      </c>
      <c r="L24" s="112">
        <f t="shared" si="5"/>
        <v>0</v>
      </c>
      <c r="M24" s="112">
        <f t="shared" si="5"/>
        <v>0</v>
      </c>
      <c r="N24" s="112">
        <f t="shared" si="5"/>
        <v>0</v>
      </c>
      <c r="O24" s="112">
        <f t="shared" si="5"/>
        <v>0</v>
      </c>
      <c r="P24" s="112">
        <f t="shared" si="5"/>
        <v>0</v>
      </c>
      <c r="Q24" s="112">
        <f t="shared" si="5"/>
        <v>0</v>
      </c>
      <c r="R24" s="112">
        <f t="shared" si="5"/>
        <v>0</v>
      </c>
      <c r="S24" s="112">
        <f t="shared" si="5"/>
        <v>0</v>
      </c>
      <c r="T24" s="112">
        <f t="shared" si="5"/>
        <v>0</v>
      </c>
      <c r="U24" s="21"/>
      <c r="V24" s="91">
        <f>SUM(E24:T24)</f>
        <v>0</v>
      </c>
      <c r="W24" s="82"/>
    </row>
    <row r="25" spans="2:23" ht="35" customHeight="1" thickBot="1" x14ac:dyDescent="0.3">
      <c r="B25" s="36"/>
      <c r="C25" s="73"/>
      <c r="D25" s="73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s="21"/>
      <c r="V25" s="76"/>
      <c r="W25" s="82"/>
    </row>
    <row r="26" spans="2:23" ht="51" customHeight="1" thickTop="1" thickBot="1" x14ac:dyDescent="0.3">
      <c r="B26" s="36"/>
      <c r="C26" s="145" t="s">
        <v>54</v>
      </c>
      <c r="D26" s="146"/>
      <c r="E26" s="146"/>
      <c r="F26" s="146"/>
      <c r="G26" s="147"/>
      <c r="H26" s="21"/>
      <c r="I26" s="21"/>
      <c r="J26" s="21"/>
      <c r="K26" s="21"/>
      <c r="L26" s="21"/>
      <c r="M26" s="21"/>
      <c r="N26" s="21"/>
      <c r="O26" s="21"/>
      <c r="P26" s="21"/>
      <c r="Q26" s="186" t="s">
        <v>41</v>
      </c>
      <c r="R26" s="187"/>
      <c r="S26" s="187"/>
      <c r="T26" s="187"/>
      <c r="U26" s="188"/>
      <c r="V26" s="37">
        <f>V16+V24</f>
        <v>0</v>
      </c>
      <c r="W26" s="84"/>
    </row>
    <row r="27" spans="2:23" ht="13.5" customHeight="1" x14ac:dyDescent="0.25">
      <c r="B27" s="36"/>
      <c r="H27" s="96"/>
      <c r="I27" s="96"/>
      <c r="J27" s="96"/>
      <c r="K27" s="21"/>
      <c r="L27" s="18"/>
      <c r="M27" s="18"/>
      <c r="N27" s="18"/>
      <c r="O27" s="18"/>
      <c r="W27" s="84"/>
    </row>
    <row r="28" spans="2:23" ht="10.5" customHeight="1" thickBot="1" x14ac:dyDescent="0.3">
      <c r="B28" s="36"/>
      <c r="C28" s="9"/>
      <c r="D28" s="20"/>
      <c r="E28" s="20"/>
      <c r="F28" s="20"/>
      <c r="G28" s="20"/>
      <c r="H28" s="20"/>
      <c r="I28" s="20"/>
      <c r="K28" s="21"/>
      <c r="L28" s="18"/>
      <c r="M28" s="21"/>
      <c r="N28" s="21"/>
      <c r="O28" s="21"/>
      <c r="Q28" s="43"/>
      <c r="R28" s="43"/>
      <c r="S28" s="43"/>
      <c r="T28" s="43"/>
      <c r="U28" s="43"/>
      <c r="V28" s="9"/>
      <c r="W28" s="84"/>
    </row>
    <row r="29" spans="2:23" ht="53.25" customHeight="1" thickBot="1" x14ac:dyDescent="0.3">
      <c r="B29" s="36"/>
      <c r="C29" s="101" t="s">
        <v>42</v>
      </c>
      <c r="D29" s="148" t="s">
        <v>55</v>
      </c>
      <c r="E29" s="149"/>
      <c r="F29" s="149"/>
      <c r="G29" s="149"/>
      <c r="H29" s="149"/>
      <c r="I29" s="149"/>
      <c r="J29" s="149"/>
      <c r="K29" s="149"/>
      <c r="L29" s="149"/>
      <c r="M29" s="102" t="s">
        <v>42</v>
      </c>
      <c r="N29" s="161" t="s">
        <v>55</v>
      </c>
      <c r="O29" s="161"/>
      <c r="P29" s="161"/>
      <c r="Q29" s="161"/>
      <c r="R29" s="161"/>
      <c r="S29" s="161"/>
      <c r="T29" s="161"/>
      <c r="U29" s="162"/>
      <c r="V29" s="9"/>
      <c r="W29" s="84"/>
    </row>
    <row r="30" spans="2:23" ht="20.25" customHeight="1" x14ac:dyDescent="0.25">
      <c r="B30" s="36"/>
      <c r="C30" s="166">
        <v>1</v>
      </c>
      <c r="D30" s="167"/>
      <c r="E30" s="168"/>
      <c r="F30" s="168"/>
      <c r="G30" s="168"/>
      <c r="H30" s="168"/>
      <c r="I30" s="168"/>
      <c r="J30" s="168"/>
      <c r="K30" s="168"/>
      <c r="L30" s="168"/>
      <c r="M30" s="166">
        <v>17</v>
      </c>
      <c r="N30" s="163"/>
      <c r="O30" s="164"/>
      <c r="P30" s="164"/>
      <c r="Q30" s="164"/>
      <c r="R30" s="164"/>
      <c r="S30" s="164"/>
      <c r="T30" s="164"/>
      <c r="U30" s="165"/>
      <c r="V30" s="77"/>
      <c r="W30" s="84"/>
    </row>
    <row r="31" spans="2:23" ht="20.25" customHeight="1" x14ac:dyDescent="0.25">
      <c r="B31" s="36"/>
      <c r="C31" s="134"/>
      <c r="D31" s="136"/>
      <c r="E31" s="136"/>
      <c r="F31" s="136"/>
      <c r="G31" s="136"/>
      <c r="H31" s="136"/>
      <c r="I31" s="136"/>
      <c r="J31" s="136"/>
      <c r="K31" s="136"/>
      <c r="L31" s="136"/>
      <c r="M31" s="134"/>
      <c r="N31" s="142"/>
      <c r="O31" s="143"/>
      <c r="P31" s="143"/>
      <c r="Q31" s="143"/>
      <c r="R31" s="143"/>
      <c r="S31" s="143"/>
      <c r="T31" s="143"/>
      <c r="U31" s="144"/>
      <c r="V31" s="77"/>
      <c r="W31" s="82"/>
    </row>
    <row r="32" spans="2:23" ht="20.25" customHeight="1" x14ac:dyDescent="0.25">
      <c r="B32" s="36"/>
      <c r="C32" s="133">
        <v>2</v>
      </c>
      <c r="D32" s="135"/>
      <c r="E32" s="136"/>
      <c r="F32" s="136"/>
      <c r="G32" s="136"/>
      <c r="H32" s="136"/>
      <c r="I32" s="136"/>
      <c r="J32" s="136"/>
      <c r="K32" s="136"/>
      <c r="L32" s="136"/>
      <c r="M32" s="133">
        <v>18</v>
      </c>
      <c r="N32" s="139"/>
      <c r="O32" s="140"/>
      <c r="P32" s="140"/>
      <c r="Q32" s="140"/>
      <c r="R32" s="140"/>
      <c r="S32" s="140"/>
      <c r="T32" s="140"/>
      <c r="U32" s="141"/>
      <c r="V32" s="77"/>
      <c r="W32" s="82"/>
    </row>
    <row r="33" spans="2:23" ht="20.25" customHeight="1" x14ac:dyDescent="0.25">
      <c r="B33" s="36"/>
      <c r="C33" s="134"/>
      <c r="D33" s="136"/>
      <c r="E33" s="136"/>
      <c r="F33" s="136"/>
      <c r="G33" s="136"/>
      <c r="H33" s="136"/>
      <c r="I33" s="136"/>
      <c r="J33" s="136"/>
      <c r="K33" s="136"/>
      <c r="L33" s="136"/>
      <c r="M33" s="134"/>
      <c r="N33" s="142"/>
      <c r="O33" s="143"/>
      <c r="P33" s="143"/>
      <c r="Q33" s="143"/>
      <c r="R33" s="143"/>
      <c r="S33" s="143"/>
      <c r="T33" s="143"/>
      <c r="U33" s="144"/>
      <c r="V33" s="46"/>
      <c r="W33" s="108"/>
    </row>
    <row r="34" spans="2:23" ht="20.25" customHeight="1" x14ac:dyDescent="0.25">
      <c r="B34" s="36"/>
      <c r="C34" s="133">
        <v>3</v>
      </c>
      <c r="D34" s="135"/>
      <c r="E34" s="136"/>
      <c r="F34" s="136"/>
      <c r="G34" s="136"/>
      <c r="H34" s="136"/>
      <c r="I34" s="136"/>
      <c r="J34" s="136"/>
      <c r="K34" s="136"/>
      <c r="L34" s="136"/>
      <c r="M34" s="133">
        <v>19</v>
      </c>
      <c r="N34" s="139"/>
      <c r="O34" s="140"/>
      <c r="P34" s="140"/>
      <c r="Q34" s="140"/>
      <c r="R34" s="140"/>
      <c r="S34" s="140"/>
      <c r="T34" s="140"/>
      <c r="U34" s="141"/>
      <c r="V34" s="76"/>
      <c r="W34" s="86"/>
    </row>
    <row r="35" spans="2:23" ht="20.25" customHeight="1" x14ac:dyDescent="0.25">
      <c r="B35" s="36"/>
      <c r="C35" s="134"/>
      <c r="D35" s="136"/>
      <c r="E35" s="136"/>
      <c r="F35" s="136"/>
      <c r="G35" s="136"/>
      <c r="H35" s="136"/>
      <c r="I35" s="136"/>
      <c r="J35" s="136"/>
      <c r="K35" s="136"/>
      <c r="L35" s="136"/>
      <c r="M35" s="134"/>
      <c r="N35" s="142"/>
      <c r="O35" s="143"/>
      <c r="P35" s="143"/>
      <c r="Q35" s="143"/>
      <c r="R35" s="143"/>
      <c r="S35" s="143"/>
      <c r="T35" s="143"/>
      <c r="U35" s="144"/>
      <c r="V35" s="8"/>
      <c r="W35" s="82"/>
    </row>
    <row r="36" spans="2:23" ht="20.25" customHeight="1" x14ac:dyDescent="0.25">
      <c r="B36" s="36"/>
      <c r="C36" s="133">
        <v>4</v>
      </c>
      <c r="D36" s="135"/>
      <c r="E36" s="136"/>
      <c r="F36" s="136"/>
      <c r="G36" s="136"/>
      <c r="H36" s="136"/>
      <c r="I36" s="136"/>
      <c r="J36" s="136"/>
      <c r="K36" s="136"/>
      <c r="L36" s="136"/>
      <c r="M36" s="133">
        <v>20</v>
      </c>
      <c r="N36" s="139"/>
      <c r="O36" s="140"/>
      <c r="P36" s="140"/>
      <c r="Q36" s="140"/>
      <c r="R36" s="140"/>
      <c r="S36" s="140"/>
      <c r="T36" s="140"/>
      <c r="U36" s="141"/>
      <c r="W36" s="82"/>
    </row>
    <row r="37" spans="2:23" ht="20.25" customHeight="1" x14ac:dyDescent="0.25">
      <c r="B37" s="36"/>
      <c r="C37" s="134"/>
      <c r="D37" s="136"/>
      <c r="E37" s="136"/>
      <c r="F37" s="136"/>
      <c r="G37" s="136"/>
      <c r="H37" s="136"/>
      <c r="I37" s="136"/>
      <c r="J37" s="136"/>
      <c r="K37" s="136"/>
      <c r="L37" s="136"/>
      <c r="M37" s="134"/>
      <c r="N37" s="142"/>
      <c r="O37" s="143"/>
      <c r="P37" s="143"/>
      <c r="Q37" s="143"/>
      <c r="R37" s="143"/>
      <c r="S37" s="143"/>
      <c r="T37" s="143"/>
      <c r="U37" s="144"/>
      <c r="W37" s="82"/>
    </row>
    <row r="38" spans="2:23" ht="20.25" customHeight="1" x14ac:dyDescent="0.25">
      <c r="B38" s="36"/>
      <c r="C38" s="133">
        <v>5</v>
      </c>
      <c r="D38" s="135"/>
      <c r="E38" s="136"/>
      <c r="F38" s="136"/>
      <c r="G38" s="136"/>
      <c r="H38" s="136"/>
      <c r="I38" s="136"/>
      <c r="J38" s="136"/>
      <c r="K38" s="136"/>
      <c r="L38" s="136"/>
      <c r="M38" s="133">
        <v>21</v>
      </c>
      <c r="N38" s="139"/>
      <c r="O38" s="140"/>
      <c r="P38" s="140"/>
      <c r="Q38" s="140"/>
      <c r="R38" s="140"/>
      <c r="S38" s="140"/>
      <c r="T38" s="140"/>
      <c r="U38" s="141"/>
      <c r="W38" s="82"/>
    </row>
    <row r="39" spans="2:23" ht="20.25" customHeight="1" x14ac:dyDescent="0.25">
      <c r="B39" s="36"/>
      <c r="C39" s="134"/>
      <c r="D39" s="136"/>
      <c r="E39" s="136"/>
      <c r="F39" s="136"/>
      <c r="G39" s="136"/>
      <c r="H39" s="136"/>
      <c r="I39" s="136"/>
      <c r="J39" s="136"/>
      <c r="K39" s="136"/>
      <c r="L39" s="136"/>
      <c r="M39" s="134"/>
      <c r="N39" s="142"/>
      <c r="O39" s="143"/>
      <c r="P39" s="143"/>
      <c r="Q39" s="143"/>
      <c r="R39" s="143"/>
      <c r="S39" s="143"/>
      <c r="T39" s="143"/>
      <c r="U39" s="144"/>
      <c r="W39" s="82"/>
    </row>
    <row r="40" spans="2:23" ht="20.25" customHeight="1" x14ac:dyDescent="0.25">
      <c r="B40" s="36"/>
      <c r="C40" s="133">
        <v>6</v>
      </c>
      <c r="D40" s="135"/>
      <c r="E40" s="136"/>
      <c r="F40" s="136"/>
      <c r="G40" s="136"/>
      <c r="H40" s="136"/>
      <c r="I40" s="136"/>
      <c r="J40" s="136"/>
      <c r="K40" s="136"/>
      <c r="L40" s="136"/>
      <c r="M40" s="133">
        <v>22</v>
      </c>
      <c r="N40" s="139"/>
      <c r="O40" s="140"/>
      <c r="P40" s="140"/>
      <c r="Q40" s="140"/>
      <c r="R40" s="140"/>
      <c r="S40" s="140"/>
      <c r="T40" s="140"/>
      <c r="U40" s="141"/>
      <c r="W40" s="82"/>
    </row>
    <row r="41" spans="2:23" ht="20.25" customHeight="1" x14ac:dyDescent="0.25">
      <c r="B41" s="36"/>
      <c r="C41" s="134"/>
      <c r="D41" s="136"/>
      <c r="E41" s="136"/>
      <c r="F41" s="136"/>
      <c r="G41" s="136"/>
      <c r="H41" s="136"/>
      <c r="I41" s="136"/>
      <c r="J41" s="136"/>
      <c r="K41" s="136"/>
      <c r="L41" s="136"/>
      <c r="M41" s="134"/>
      <c r="N41" s="142"/>
      <c r="O41" s="143"/>
      <c r="P41" s="143"/>
      <c r="Q41" s="143"/>
      <c r="R41" s="143"/>
      <c r="S41" s="143"/>
      <c r="T41" s="143"/>
      <c r="U41" s="144"/>
      <c r="W41" s="82"/>
    </row>
    <row r="42" spans="2:23" ht="20.25" customHeight="1" x14ac:dyDescent="0.25">
      <c r="B42" s="36"/>
      <c r="C42" s="133">
        <v>7</v>
      </c>
      <c r="D42" s="135"/>
      <c r="E42" s="136"/>
      <c r="F42" s="136"/>
      <c r="G42" s="136"/>
      <c r="H42" s="136"/>
      <c r="I42" s="136"/>
      <c r="J42" s="136"/>
      <c r="K42" s="136"/>
      <c r="L42" s="136"/>
      <c r="M42" s="133">
        <v>23</v>
      </c>
      <c r="N42" s="139"/>
      <c r="O42" s="140"/>
      <c r="P42" s="140"/>
      <c r="Q42" s="140"/>
      <c r="R42" s="140"/>
      <c r="S42" s="140"/>
      <c r="T42" s="140"/>
      <c r="U42" s="141"/>
      <c r="W42" s="82"/>
    </row>
    <row r="43" spans="2:23" ht="20.25" customHeight="1" x14ac:dyDescent="0.25">
      <c r="B43" s="36"/>
      <c r="C43" s="134"/>
      <c r="D43" s="136"/>
      <c r="E43" s="136"/>
      <c r="F43" s="136"/>
      <c r="G43" s="136"/>
      <c r="H43" s="136"/>
      <c r="I43" s="136"/>
      <c r="J43" s="136"/>
      <c r="K43" s="136"/>
      <c r="L43" s="136"/>
      <c r="M43" s="134"/>
      <c r="N43" s="142"/>
      <c r="O43" s="143"/>
      <c r="P43" s="143"/>
      <c r="Q43" s="143"/>
      <c r="R43" s="143"/>
      <c r="S43" s="143"/>
      <c r="T43" s="143"/>
      <c r="U43" s="144"/>
      <c r="W43" s="82"/>
    </row>
    <row r="44" spans="2:23" ht="20.25" customHeight="1" x14ac:dyDescent="0.25">
      <c r="B44" s="36"/>
      <c r="C44" s="133">
        <v>8</v>
      </c>
      <c r="D44" s="135"/>
      <c r="E44" s="136"/>
      <c r="F44" s="136"/>
      <c r="G44" s="136"/>
      <c r="H44" s="136"/>
      <c r="I44" s="136"/>
      <c r="J44" s="136"/>
      <c r="K44" s="136"/>
      <c r="L44" s="136"/>
      <c r="M44" s="133">
        <v>24</v>
      </c>
      <c r="N44" s="139"/>
      <c r="O44" s="140"/>
      <c r="P44" s="140"/>
      <c r="Q44" s="140"/>
      <c r="R44" s="140"/>
      <c r="S44" s="140"/>
      <c r="T44" s="140"/>
      <c r="U44" s="141"/>
      <c r="W44" s="82"/>
    </row>
    <row r="45" spans="2:23" ht="20.25" customHeight="1" x14ac:dyDescent="0.25">
      <c r="B45" s="36"/>
      <c r="C45" s="134"/>
      <c r="D45" s="136"/>
      <c r="E45" s="136"/>
      <c r="F45" s="136"/>
      <c r="G45" s="136"/>
      <c r="H45" s="136"/>
      <c r="I45" s="136"/>
      <c r="J45" s="136"/>
      <c r="K45" s="136"/>
      <c r="L45" s="136"/>
      <c r="M45" s="134"/>
      <c r="N45" s="142"/>
      <c r="O45" s="143"/>
      <c r="P45" s="143"/>
      <c r="Q45" s="143"/>
      <c r="R45" s="143"/>
      <c r="S45" s="143"/>
      <c r="T45" s="143"/>
      <c r="U45" s="144"/>
      <c r="W45" s="82"/>
    </row>
    <row r="46" spans="2:23" ht="20.25" customHeight="1" x14ac:dyDescent="0.25">
      <c r="B46" s="36"/>
      <c r="C46" s="133">
        <v>9</v>
      </c>
      <c r="D46" s="135"/>
      <c r="E46" s="136"/>
      <c r="F46" s="136"/>
      <c r="G46" s="136"/>
      <c r="H46" s="136"/>
      <c r="I46" s="136"/>
      <c r="J46" s="136"/>
      <c r="K46" s="136"/>
      <c r="L46" s="136"/>
      <c r="M46" s="133">
        <v>25</v>
      </c>
      <c r="N46" s="139"/>
      <c r="O46" s="140"/>
      <c r="P46" s="140"/>
      <c r="Q46" s="140"/>
      <c r="R46" s="140"/>
      <c r="S46" s="140"/>
      <c r="T46" s="140"/>
      <c r="U46" s="141"/>
      <c r="W46" s="82"/>
    </row>
    <row r="47" spans="2:23" ht="20.25" customHeight="1" x14ac:dyDescent="0.25">
      <c r="B47" s="36"/>
      <c r="C47" s="134"/>
      <c r="D47" s="136"/>
      <c r="E47" s="136"/>
      <c r="F47" s="136"/>
      <c r="G47" s="136"/>
      <c r="H47" s="136"/>
      <c r="I47" s="136"/>
      <c r="J47" s="136"/>
      <c r="K47" s="136"/>
      <c r="L47" s="136"/>
      <c r="M47" s="134"/>
      <c r="N47" s="142"/>
      <c r="O47" s="143"/>
      <c r="P47" s="143"/>
      <c r="Q47" s="143"/>
      <c r="R47" s="143"/>
      <c r="S47" s="143"/>
      <c r="T47" s="143"/>
      <c r="U47" s="144"/>
      <c r="W47" s="82"/>
    </row>
    <row r="48" spans="2:23" ht="20.25" customHeight="1" x14ac:dyDescent="0.25">
      <c r="B48" s="36"/>
      <c r="C48" s="133">
        <v>10</v>
      </c>
      <c r="D48" s="135"/>
      <c r="E48" s="136"/>
      <c r="F48" s="136"/>
      <c r="G48" s="136"/>
      <c r="H48" s="136"/>
      <c r="I48" s="136"/>
      <c r="J48" s="136"/>
      <c r="K48" s="136"/>
      <c r="L48" s="136"/>
      <c r="M48" s="133">
        <v>26</v>
      </c>
      <c r="N48" s="139"/>
      <c r="O48" s="140"/>
      <c r="P48" s="140"/>
      <c r="Q48" s="140"/>
      <c r="R48" s="140"/>
      <c r="S48" s="140"/>
      <c r="T48" s="140"/>
      <c r="U48" s="141"/>
      <c r="W48" s="82"/>
    </row>
    <row r="49" spans="2:23" ht="20.25" customHeight="1" x14ac:dyDescent="0.25">
      <c r="B49" s="36"/>
      <c r="C49" s="134"/>
      <c r="D49" s="136"/>
      <c r="E49" s="136"/>
      <c r="F49" s="136"/>
      <c r="G49" s="136"/>
      <c r="H49" s="136"/>
      <c r="I49" s="136"/>
      <c r="J49" s="136"/>
      <c r="K49" s="136"/>
      <c r="L49" s="136"/>
      <c r="M49" s="134"/>
      <c r="N49" s="142"/>
      <c r="O49" s="143"/>
      <c r="P49" s="143"/>
      <c r="Q49" s="143"/>
      <c r="R49" s="143"/>
      <c r="S49" s="143"/>
      <c r="T49" s="143"/>
      <c r="U49" s="144"/>
      <c r="W49" s="82"/>
    </row>
    <row r="50" spans="2:23" ht="20.25" customHeight="1" x14ac:dyDescent="0.25">
      <c r="B50" s="36"/>
      <c r="C50" s="133">
        <v>11</v>
      </c>
      <c r="D50" s="135"/>
      <c r="E50" s="136"/>
      <c r="F50" s="136"/>
      <c r="G50" s="136"/>
      <c r="H50" s="136"/>
      <c r="I50" s="136"/>
      <c r="J50" s="136"/>
      <c r="K50" s="136"/>
      <c r="L50" s="136"/>
      <c r="M50" s="133">
        <v>27</v>
      </c>
      <c r="N50" s="139"/>
      <c r="O50" s="140"/>
      <c r="P50" s="140"/>
      <c r="Q50" s="140"/>
      <c r="R50" s="140"/>
      <c r="S50" s="140"/>
      <c r="T50" s="140"/>
      <c r="U50" s="141"/>
      <c r="W50" s="82"/>
    </row>
    <row r="51" spans="2:23" ht="20.25" customHeight="1" x14ac:dyDescent="0.25">
      <c r="B51" s="36"/>
      <c r="C51" s="134"/>
      <c r="D51" s="136"/>
      <c r="E51" s="136"/>
      <c r="F51" s="136"/>
      <c r="G51" s="136"/>
      <c r="H51" s="136"/>
      <c r="I51" s="136"/>
      <c r="J51" s="136"/>
      <c r="K51" s="136"/>
      <c r="L51" s="136"/>
      <c r="M51" s="134"/>
      <c r="N51" s="142"/>
      <c r="O51" s="143"/>
      <c r="P51" s="143"/>
      <c r="Q51" s="143"/>
      <c r="R51" s="143"/>
      <c r="S51" s="143"/>
      <c r="T51" s="143"/>
      <c r="U51" s="144"/>
      <c r="W51" s="82"/>
    </row>
    <row r="52" spans="2:23" ht="20.25" customHeight="1" x14ac:dyDescent="0.25">
      <c r="B52" s="36"/>
      <c r="C52" s="133">
        <v>12</v>
      </c>
      <c r="D52" s="135"/>
      <c r="E52" s="136"/>
      <c r="F52" s="136"/>
      <c r="G52" s="136"/>
      <c r="H52" s="136"/>
      <c r="I52" s="136"/>
      <c r="J52" s="136"/>
      <c r="K52" s="136"/>
      <c r="L52" s="136"/>
      <c r="M52" s="133">
        <v>28</v>
      </c>
      <c r="N52" s="139"/>
      <c r="O52" s="140"/>
      <c r="P52" s="140"/>
      <c r="Q52" s="140"/>
      <c r="R52" s="140"/>
      <c r="S52" s="140"/>
      <c r="T52" s="140"/>
      <c r="U52" s="141"/>
      <c r="W52" s="82"/>
    </row>
    <row r="53" spans="2:23" ht="20.25" customHeight="1" x14ac:dyDescent="0.25">
      <c r="B53" s="36"/>
      <c r="C53" s="134"/>
      <c r="D53" s="136"/>
      <c r="E53" s="136"/>
      <c r="F53" s="136"/>
      <c r="G53" s="136"/>
      <c r="H53" s="136"/>
      <c r="I53" s="136"/>
      <c r="J53" s="136"/>
      <c r="K53" s="136"/>
      <c r="L53" s="136"/>
      <c r="M53" s="134"/>
      <c r="N53" s="142"/>
      <c r="O53" s="143"/>
      <c r="P53" s="143"/>
      <c r="Q53" s="143"/>
      <c r="R53" s="143"/>
      <c r="S53" s="143"/>
      <c r="T53" s="143"/>
      <c r="U53" s="144"/>
      <c r="W53" s="82"/>
    </row>
    <row r="54" spans="2:23" ht="20.25" customHeight="1" x14ac:dyDescent="0.25">
      <c r="B54" s="36"/>
      <c r="C54" s="133">
        <v>13</v>
      </c>
      <c r="D54" s="135"/>
      <c r="E54" s="136"/>
      <c r="F54" s="136"/>
      <c r="G54" s="136"/>
      <c r="H54" s="136"/>
      <c r="I54" s="136"/>
      <c r="J54" s="136"/>
      <c r="K54" s="136"/>
      <c r="L54" s="136"/>
      <c r="M54" s="133">
        <v>29</v>
      </c>
      <c r="N54" s="139"/>
      <c r="O54" s="140"/>
      <c r="P54" s="140"/>
      <c r="Q54" s="140"/>
      <c r="R54" s="140"/>
      <c r="S54" s="140"/>
      <c r="T54" s="140"/>
      <c r="U54" s="141"/>
      <c r="W54" s="82"/>
    </row>
    <row r="55" spans="2:23" ht="20.25" customHeight="1" x14ac:dyDescent="0.25">
      <c r="B55" s="36"/>
      <c r="C55" s="134"/>
      <c r="D55" s="136"/>
      <c r="E55" s="136"/>
      <c r="F55" s="136"/>
      <c r="G55" s="136"/>
      <c r="H55" s="136"/>
      <c r="I55" s="136"/>
      <c r="J55" s="136"/>
      <c r="K55" s="136"/>
      <c r="L55" s="136"/>
      <c r="M55" s="134"/>
      <c r="N55" s="142"/>
      <c r="O55" s="143"/>
      <c r="P55" s="143"/>
      <c r="Q55" s="143"/>
      <c r="R55" s="143"/>
      <c r="S55" s="143"/>
      <c r="T55" s="143"/>
      <c r="U55" s="144"/>
      <c r="W55" s="82"/>
    </row>
    <row r="56" spans="2:23" ht="20.25" customHeight="1" x14ac:dyDescent="0.25">
      <c r="B56" s="36"/>
      <c r="C56" s="133">
        <v>14</v>
      </c>
      <c r="D56" s="135"/>
      <c r="E56" s="136"/>
      <c r="F56" s="136"/>
      <c r="G56" s="136"/>
      <c r="H56" s="136"/>
      <c r="I56" s="136"/>
      <c r="J56" s="136"/>
      <c r="K56" s="136"/>
      <c r="L56" s="136"/>
      <c r="M56" s="137">
        <v>30</v>
      </c>
      <c r="N56" s="139"/>
      <c r="O56" s="140"/>
      <c r="P56" s="140"/>
      <c r="Q56" s="140"/>
      <c r="R56" s="140"/>
      <c r="S56" s="140"/>
      <c r="T56" s="140"/>
      <c r="U56" s="141"/>
      <c r="W56" s="82"/>
    </row>
    <row r="57" spans="2:23" ht="20.25" customHeight="1" x14ac:dyDescent="0.25">
      <c r="B57" s="36"/>
      <c r="C57" s="134"/>
      <c r="D57" s="136"/>
      <c r="E57" s="136"/>
      <c r="F57" s="136"/>
      <c r="G57" s="136"/>
      <c r="H57" s="136"/>
      <c r="I57" s="136"/>
      <c r="J57" s="136"/>
      <c r="K57" s="136"/>
      <c r="L57" s="136"/>
      <c r="M57" s="138"/>
      <c r="N57" s="142"/>
      <c r="O57" s="143"/>
      <c r="P57" s="143"/>
      <c r="Q57" s="143"/>
      <c r="R57" s="143"/>
      <c r="S57" s="143"/>
      <c r="T57" s="143"/>
      <c r="U57" s="144"/>
      <c r="W57" s="82"/>
    </row>
    <row r="58" spans="2:23" ht="20.25" customHeight="1" x14ac:dyDescent="0.25">
      <c r="B58" s="36"/>
      <c r="C58" s="133">
        <v>15</v>
      </c>
      <c r="D58" s="135"/>
      <c r="E58" s="136"/>
      <c r="F58" s="136"/>
      <c r="G58" s="136"/>
      <c r="H58" s="136"/>
      <c r="I58" s="136"/>
      <c r="J58" s="136"/>
      <c r="K58" s="136"/>
      <c r="L58" s="136"/>
      <c r="M58" s="137">
        <v>31</v>
      </c>
      <c r="N58" s="139"/>
      <c r="O58" s="140"/>
      <c r="P58" s="140"/>
      <c r="Q58" s="140"/>
      <c r="R58" s="140"/>
      <c r="S58" s="140"/>
      <c r="T58" s="140"/>
      <c r="U58" s="141"/>
      <c r="W58" s="82"/>
    </row>
    <row r="59" spans="2:23" ht="20.25" customHeight="1" x14ac:dyDescent="0.25">
      <c r="B59" s="36"/>
      <c r="C59" s="134"/>
      <c r="D59" s="136"/>
      <c r="E59" s="136"/>
      <c r="F59" s="136"/>
      <c r="G59" s="136"/>
      <c r="H59" s="136"/>
      <c r="I59" s="136"/>
      <c r="J59" s="136"/>
      <c r="K59" s="136"/>
      <c r="L59" s="136"/>
      <c r="M59" s="138"/>
      <c r="N59" s="142"/>
      <c r="O59" s="143"/>
      <c r="P59" s="143"/>
      <c r="Q59" s="143"/>
      <c r="R59" s="143"/>
      <c r="S59" s="143"/>
      <c r="T59" s="143"/>
      <c r="U59" s="144"/>
      <c r="W59" s="82"/>
    </row>
    <row r="60" spans="2:23" ht="20.25" customHeight="1" x14ac:dyDescent="0.25">
      <c r="B60" s="36"/>
      <c r="C60" s="133">
        <v>16</v>
      </c>
      <c r="D60" s="135"/>
      <c r="E60" s="136"/>
      <c r="F60" s="136"/>
      <c r="G60" s="136"/>
      <c r="H60" s="136"/>
      <c r="I60" s="136"/>
      <c r="J60" s="136"/>
      <c r="K60" s="136"/>
      <c r="L60" s="136"/>
      <c r="M60" s="137"/>
      <c r="N60" s="139"/>
      <c r="O60" s="140"/>
      <c r="P60" s="140"/>
      <c r="Q60" s="140"/>
      <c r="R60" s="140"/>
      <c r="S60" s="140"/>
      <c r="T60" s="140"/>
      <c r="U60" s="141"/>
      <c r="W60" s="82"/>
    </row>
    <row r="61" spans="2:23" ht="20.25" customHeight="1" x14ac:dyDescent="0.25">
      <c r="B61" s="36"/>
      <c r="C61" s="134"/>
      <c r="D61" s="136"/>
      <c r="E61" s="136"/>
      <c r="F61" s="136"/>
      <c r="G61" s="136"/>
      <c r="H61" s="136"/>
      <c r="I61" s="136"/>
      <c r="J61" s="136"/>
      <c r="K61" s="136"/>
      <c r="L61" s="136"/>
      <c r="M61" s="138"/>
      <c r="N61" s="142"/>
      <c r="O61" s="143"/>
      <c r="P61" s="143"/>
      <c r="Q61" s="143"/>
      <c r="R61" s="143"/>
      <c r="S61" s="143"/>
      <c r="T61" s="143"/>
      <c r="U61" s="144"/>
      <c r="W61" s="82"/>
    </row>
    <row r="62" spans="2:23" ht="15" customHeight="1" x14ac:dyDescent="0.25">
      <c r="B62" s="36"/>
      <c r="C62" s="97"/>
      <c r="D62" s="98"/>
      <c r="E62" s="98"/>
      <c r="F62" s="98"/>
      <c r="G62" s="98"/>
      <c r="H62" s="98"/>
      <c r="I62" s="98"/>
      <c r="J62" s="98"/>
      <c r="K62" s="98"/>
      <c r="L62" s="98"/>
      <c r="M62" s="100"/>
      <c r="N62" s="98"/>
      <c r="O62" s="98"/>
      <c r="P62" s="98"/>
      <c r="Q62" s="98"/>
      <c r="R62" s="98"/>
      <c r="S62" s="98"/>
      <c r="T62" s="98"/>
      <c r="U62" s="98"/>
      <c r="W62" s="82"/>
    </row>
    <row r="63" spans="2:23" ht="15" customHeight="1" x14ac:dyDescent="0.25">
      <c r="B63" s="36"/>
      <c r="C63" s="182" t="s">
        <v>38</v>
      </c>
      <c r="D63" s="183"/>
      <c r="E63" s="183"/>
      <c r="F63" s="183"/>
      <c r="G63" s="183"/>
      <c r="H63" s="183"/>
      <c r="I63" s="183"/>
      <c r="J63" s="184"/>
      <c r="K63" s="98"/>
      <c r="L63" s="157" t="s">
        <v>40</v>
      </c>
      <c r="M63" s="157"/>
      <c r="N63" s="157"/>
      <c r="O63" s="157"/>
      <c r="P63"/>
      <c r="Q63"/>
      <c r="R63"/>
      <c r="S63"/>
      <c r="T63"/>
      <c r="U63"/>
      <c r="V63"/>
      <c r="W63" s="82"/>
    </row>
    <row r="64" spans="2:23" ht="15" customHeight="1" thickBot="1" x14ac:dyDescent="0.3">
      <c r="B64" s="36"/>
      <c r="C64" s="104" t="s">
        <v>39</v>
      </c>
      <c r="D64" s="160"/>
      <c r="E64" s="160"/>
      <c r="F64" s="160"/>
      <c r="G64" s="160"/>
      <c r="H64" s="160"/>
      <c r="I64" s="160"/>
      <c r="J64" s="178"/>
      <c r="K64" s="98"/>
      <c r="L64"/>
      <c r="M64"/>
      <c r="N64"/>
      <c r="O64"/>
      <c r="P64"/>
      <c r="Q64"/>
      <c r="R64"/>
      <c r="S64"/>
      <c r="T64"/>
      <c r="U64"/>
      <c r="V64"/>
      <c r="W64" s="82"/>
    </row>
    <row r="65" spans="2:23" ht="15" customHeight="1" x14ac:dyDescent="0.25">
      <c r="B65" s="36"/>
      <c r="C65" s="41"/>
      <c r="D65" s="20"/>
      <c r="E65" s="20"/>
      <c r="F65" s="20"/>
      <c r="G65" s="20"/>
      <c r="H65" s="20"/>
      <c r="I65" s="20"/>
      <c r="J65" s="42"/>
      <c r="K65" s="99"/>
      <c r="L65" s="170"/>
      <c r="M65" s="171"/>
      <c r="N65" s="171"/>
      <c r="O65" s="171"/>
      <c r="P65" s="171"/>
      <c r="Q65" s="171"/>
      <c r="R65" s="171"/>
      <c r="S65" s="171"/>
      <c r="T65" s="171"/>
      <c r="U65" s="171"/>
      <c r="V65" s="172"/>
      <c r="W65" s="82"/>
    </row>
    <row r="66" spans="2:23" ht="15" customHeight="1" thickBot="1" x14ac:dyDescent="0.3">
      <c r="B66" s="36"/>
      <c r="C66" s="104" t="s">
        <v>42</v>
      </c>
      <c r="D66" s="160"/>
      <c r="E66" s="160"/>
      <c r="F66" s="160"/>
      <c r="G66" s="160"/>
      <c r="H66" s="160"/>
      <c r="I66" s="160"/>
      <c r="J66" s="178"/>
      <c r="K66" s="99"/>
      <c r="L66" s="173"/>
      <c r="M66" s="174"/>
      <c r="N66" s="174"/>
      <c r="O66" s="174"/>
      <c r="P66" s="174"/>
      <c r="Q66" s="174"/>
      <c r="R66" s="174"/>
      <c r="S66" s="174"/>
      <c r="T66" s="174"/>
      <c r="U66" s="174"/>
      <c r="V66" s="175"/>
      <c r="W66" s="82"/>
    </row>
    <row r="67" spans="2:23" ht="15" customHeight="1" x14ac:dyDescent="0.25">
      <c r="B67" s="36"/>
      <c r="C67" s="41"/>
      <c r="D67" s="20"/>
      <c r="E67" s="20"/>
      <c r="F67" s="20"/>
      <c r="G67" s="20"/>
      <c r="H67" s="20"/>
      <c r="I67" s="20"/>
      <c r="J67" s="42"/>
      <c r="K67" s="99"/>
      <c r="L67" s="173"/>
      <c r="M67" s="174"/>
      <c r="N67" s="174"/>
      <c r="O67" s="174"/>
      <c r="P67" s="174"/>
      <c r="Q67" s="174"/>
      <c r="R67" s="174"/>
      <c r="S67" s="174"/>
      <c r="T67" s="174"/>
      <c r="U67" s="174"/>
      <c r="V67" s="175"/>
      <c r="W67" s="82"/>
    </row>
    <row r="68" spans="2:23" ht="15" customHeight="1" thickBot="1" x14ac:dyDescent="0.3">
      <c r="B68" s="36"/>
      <c r="C68" s="104" t="s">
        <v>43</v>
      </c>
      <c r="D68" s="160"/>
      <c r="E68" s="160"/>
      <c r="F68" s="160"/>
      <c r="G68" s="160"/>
      <c r="H68" s="160"/>
      <c r="I68" s="160"/>
      <c r="J68" s="178"/>
      <c r="K68" s="99"/>
      <c r="L68" s="176"/>
      <c r="M68" s="177"/>
      <c r="N68" s="177"/>
      <c r="O68" s="177"/>
      <c r="P68" s="177"/>
      <c r="Q68" s="177"/>
      <c r="R68" s="174"/>
      <c r="S68" s="177"/>
      <c r="T68" s="177"/>
      <c r="U68" s="177"/>
      <c r="V68" s="175"/>
      <c r="W68" s="82"/>
    </row>
    <row r="69" spans="2:23" ht="54.75" customHeight="1" thickBot="1" x14ac:dyDescent="0.3">
      <c r="B69" s="36"/>
      <c r="C69" s="179" t="s">
        <v>44</v>
      </c>
      <c r="D69" s="180"/>
      <c r="E69" s="180"/>
      <c r="F69" s="180"/>
      <c r="G69" s="180"/>
      <c r="H69" s="180"/>
      <c r="I69" s="180"/>
      <c r="J69" s="181"/>
      <c r="K69" s="99"/>
      <c r="L69" s="169" t="s">
        <v>45</v>
      </c>
      <c r="M69" s="169"/>
      <c r="N69" s="169"/>
      <c r="O69" s="169"/>
      <c r="P69" s="47"/>
      <c r="Q69" s="93" t="s">
        <v>46</v>
      </c>
      <c r="R69" s="105">
        <v>7.5</v>
      </c>
      <c r="S69" s="98"/>
      <c r="T69" s="189" t="s">
        <v>47</v>
      </c>
      <c r="U69" s="190"/>
      <c r="V69" s="91">
        <f>IF(R69&gt;0, V26/R69, " ")</f>
        <v>0</v>
      </c>
      <c r="W69" s="82"/>
    </row>
    <row r="70" spans="2:23" ht="15" customHeight="1" thickBot="1" x14ac:dyDescent="0.3">
      <c r="B70" s="87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90"/>
    </row>
  </sheetData>
  <sheetProtection formatRows="0" insertRows="0" deleteRows="0" selectLockedCells="1"/>
  <mergeCells count="83">
    <mergeCell ref="C30:C31"/>
    <mergeCell ref="D30:L31"/>
    <mergeCell ref="M30:M31"/>
    <mergeCell ref="N30:U31"/>
    <mergeCell ref="C69:J69"/>
    <mergeCell ref="L69:O69"/>
    <mergeCell ref="T69:U69"/>
    <mergeCell ref="C58:C59"/>
    <mergeCell ref="D58:L59"/>
    <mergeCell ref="M58:M59"/>
    <mergeCell ref="N58:U59"/>
    <mergeCell ref="C60:C61"/>
    <mergeCell ref="D60:L61"/>
    <mergeCell ref="M60:M61"/>
    <mergeCell ref="N60:U61"/>
    <mergeCell ref="C63:J63"/>
    <mergeCell ref="D68:J68"/>
    <mergeCell ref="C54:C55"/>
    <mergeCell ref="D54:L55"/>
    <mergeCell ref="M54:M55"/>
    <mergeCell ref="N54:U55"/>
    <mergeCell ref="C56:C57"/>
    <mergeCell ref="D56:L57"/>
    <mergeCell ref="M56:M57"/>
    <mergeCell ref="N56:U57"/>
    <mergeCell ref="L63:O63"/>
    <mergeCell ref="D64:J64"/>
    <mergeCell ref="L65:V68"/>
    <mergeCell ref="D66:J66"/>
    <mergeCell ref="C50:C51"/>
    <mergeCell ref="D50:L51"/>
    <mergeCell ref="M50:M51"/>
    <mergeCell ref="N50:U51"/>
    <mergeCell ref="C52:C53"/>
    <mergeCell ref="D52:L53"/>
    <mergeCell ref="M52:M53"/>
    <mergeCell ref="N52:U53"/>
    <mergeCell ref="C46:C47"/>
    <mergeCell ref="D46:L47"/>
    <mergeCell ref="M46:M47"/>
    <mergeCell ref="N46:U47"/>
    <mergeCell ref="C48:C49"/>
    <mergeCell ref="D48:L49"/>
    <mergeCell ref="M48:M49"/>
    <mergeCell ref="N48:U49"/>
    <mergeCell ref="C42:C43"/>
    <mergeCell ref="D42:L43"/>
    <mergeCell ref="M42:M43"/>
    <mergeCell ref="N42:U43"/>
    <mergeCell ref="C44:C45"/>
    <mergeCell ref="D44:L45"/>
    <mergeCell ref="M44:M45"/>
    <mergeCell ref="N44:U45"/>
    <mergeCell ref="C38:C39"/>
    <mergeCell ref="D38:L39"/>
    <mergeCell ref="M38:M39"/>
    <mergeCell ref="N38:U39"/>
    <mergeCell ref="C40:C41"/>
    <mergeCell ref="D40:L41"/>
    <mergeCell ref="M40:M41"/>
    <mergeCell ref="N40:U41"/>
    <mergeCell ref="C36:C37"/>
    <mergeCell ref="D36:L37"/>
    <mergeCell ref="M36:M37"/>
    <mergeCell ref="N36:U37"/>
    <mergeCell ref="Q26:U26"/>
    <mergeCell ref="C32:C33"/>
    <mergeCell ref="D32:L33"/>
    <mergeCell ref="M32:M33"/>
    <mergeCell ref="N32:U33"/>
    <mergeCell ref="C34:C35"/>
    <mergeCell ref="D34:L35"/>
    <mergeCell ref="M34:M35"/>
    <mergeCell ref="N34:U35"/>
    <mergeCell ref="C26:G26"/>
    <mergeCell ref="D29:L29"/>
    <mergeCell ref="N29:U29"/>
    <mergeCell ref="D9:I9"/>
    <mergeCell ref="D7:I7"/>
    <mergeCell ref="O7:T7"/>
    <mergeCell ref="U7:U8"/>
    <mergeCell ref="D8:I8"/>
    <mergeCell ref="K8:T8"/>
  </mergeCells>
  <dataValidations count="2">
    <dataValidation type="whole" allowBlank="1" showInputMessage="1" showErrorMessage="1" errorTitle="Error" error="This is not a S.i contract number.  Please try again or leave blank." promptTitle="S.i. Contract Number" prompt="Please enter your 5 or 6 digit S.i. Systems contract number." sqref="D9:I9" xr:uid="{00000000-0002-0000-0100-000000000000}">
      <formula1>20000</formula1>
      <formula2>999999</formula2>
    </dataValidation>
    <dataValidation allowBlank="1" showInputMessage="1" showErrorMessage="1" promptTitle="Overwrite Cell?" prompt="The formula in this field will be replaced if you type in the cell." sqref="C21" xr:uid="{E8B27AC1-FDBB-4702-A221-FF4F4F49A0CD}"/>
  </dataValidations>
  <printOptions horizontalCentered="1" verticalCentered="1"/>
  <pageMargins left="0" right="0" top="0" bottom="0" header="0" footer="0"/>
  <pageSetup scale="48" orientation="landscape" r:id="rId1"/>
  <headerFooter alignWithMargins="0"/>
  <ignoredErrors>
    <ignoredError sqref="V24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FD7261F6-97F9-4A22-82BD-CA4E72F89C2E}">
            <xm:f>NOT(ISERROR(VLOOKUP(E$11,'Nat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5" id="{65853A89-E7A7-4FC3-8572-2500055FF2C1}">
            <xm:f>OR(VLOOKUP(E$11,Dates!$B:$C,2,FALSE)="Saturday",VLOOKUP(E$11,Dates!$B:$C,2,FALSE)="Sunday")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E12:S15</xm:sqref>
        </x14:conditionalFormatting>
        <x14:conditionalFormatting xmlns:xm="http://schemas.microsoft.com/office/excel/2006/main">
          <x14:cfRule type="expression" priority="2" id="{0E782F5E-AF9A-42A0-ADEA-D12FD168AD2E}">
            <xm:f>NOT(ISERROR(VLOOKUP(E$19,'Nat Stat Hol'!$C:$C,1,FALSE)))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3" id="{11A9E58D-9C9E-453F-8C4A-1407578DA7BA}">
            <xm:f>OR(VLOOKUP(E$19,Dates!$B:$C,2,FALSE)="Saturday",VLOOKUP(E$19,Dates!$B:$C,2,FALSE)="Sunday")</xm:f>
            <x14:dxf>
              <fill>
                <patternFill>
                  <bgColor theme="0" tint="-0.34998626667073579"/>
                </patternFill>
              </fill>
            </x14:dxf>
          </x14:cfRule>
          <xm:sqref>E20:T23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'Month drop down'!$C$1:$C$24</xm:f>
          </x14:formula1>
          <xm:sqref>O7:T7</xm:sqref>
        </x14:dataValidation>
        <x14:dataValidation type="list" allowBlank="1" showInputMessage="1" showErrorMessage="1" xr:uid="{3E10217C-2D91-42F7-AB27-6D99C33FAE20}">
          <x14:formula1>
            <xm:f>'Time Dropdown'!$B$3:$B$98</xm:f>
          </x14:formula1>
          <xm:sqref>E20:T23 E12:S15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96CA-88E0-4CC4-83CF-1EA78A7C5CC6}">
  <dimension ref="A1:IV30"/>
  <sheetViews>
    <sheetView zoomScale="70" zoomScaleNormal="70" workbookViewId="0">
      <selection activeCell="O7" sqref="O7:T7"/>
    </sheetView>
  </sheetViews>
  <sheetFormatPr baseColWidth="10" defaultColWidth="0" defaultRowHeight="20" x14ac:dyDescent="0.25"/>
  <cols>
    <col min="1" max="1" width="1.1640625" style="7" customWidth="1"/>
    <col min="2" max="2" width="2.6640625" style="7" customWidth="1"/>
    <col min="3" max="3" width="31.1640625" style="7" bestFit="1" customWidth="1"/>
    <col min="4" max="4" width="23.83203125" style="7" customWidth="1"/>
    <col min="5" max="19" width="8.33203125" style="7" customWidth="1"/>
    <col min="20" max="20" width="9.33203125" style="7" customWidth="1"/>
    <col min="21" max="21" width="6.6640625" style="7" customWidth="1"/>
    <col min="22" max="22" width="18.1640625" style="7" customWidth="1"/>
    <col min="23" max="23" width="8.83203125" style="7" customWidth="1"/>
    <col min="24" max="24" width="2.5" style="7" customWidth="1"/>
    <col min="25" max="256" width="0" style="7" hidden="1" customWidth="1"/>
    <col min="257" max="16384" width="9.1640625" style="7" hidden="1"/>
  </cols>
  <sheetData>
    <row r="1" spans="2:23" x14ac:dyDescent="0.25">
      <c r="E1" s="8"/>
      <c r="F1" s="8"/>
      <c r="G1" s="8"/>
      <c r="H1" s="8"/>
      <c r="I1" s="8"/>
      <c r="L1" s="9"/>
      <c r="M1" s="9"/>
    </row>
    <row r="2" spans="2:23" x14ac:dyDescent="0.25">
      <c r="E2" s="8"/>
      <c r="F2" s="8"/>
      <c r="G2" s="8"/>
      <c r="H2" s="8"/>
      <c r="I2" s="8"/>
      <c r="N2" s="193" t="s">
        <v>29</v>
      </c>
      <c r="O2" s="193"/>
      <c r="P2" s="193"/>
      <c r="Q2" s="193"/>
      <c r="R2" s="193"/>
      <c r="S2" s="193"/>
      <c r="T2" s="193"/>
      <c r="U2" s="193"/>
      <c r="V2" s="193"/>
      <c r="W2" s="193"/>
    </row>
    <row r="3" spans="2:23" x14ac:dyDescent="0.25">
      <c r="E3" s="8"/>
      <c r="F3" s="8"/>
      <c r="G3" s="8"/>
      <c r="H3" s="8"/>
      <c r="I3" s="8"/>
      <c r="J3" s="10"/>
      <c r="K3" s="10"/>
      <c r="N3" s="194" t="s">
        <v>49</v>
      </c>
      <c r="O3" s="194"/>
      <c r="P3" s="194"/>
      <c r="Q3" s="194"/>
      <c r="R3" s="194"/>
      <c r="S3" s="194"/>
      <c r="T3" s="194"/>
      <c r="U3" s="194"/>
      <c r="V3" s="194"/>
      <c r="W3" s="194"/>
    </row>
    <row r="4" spans="2:23" x14ac:dyDescent="0.25">
      <c r="C4" s="8"/>
      <c r="D4" s="8"/>
      <c r="E4" s="8"/>
      <c r="F4" s="8"/>
      <c r="G4" s="8"/>
      <c r="H4" s="8"/>
      <c r="I4" s="8"/>
      <c r="J4" s="10"/>
      <c r="N4" s="155"/>
      <c r="O4" s="155"/>
      <c r="P4" s="155"/>
      <c r="Q4" s="155"/>
      <c r="R4" s="155"/>
      <c r="S4" s="155"/>
      <c r="T4" s="155"/>
      <c r="U4" s="155"/>
      <c r="V4" s="155"/>
      <c r="W4" s="155"/>
    </row>
    <row r="5" spans="2:23" ht="21" thickBot="1" x14ac:dyDescent="0.3">
      <c r="C5" s="8"/>
      <c r="D5" s="8"/>
      <c r="E5" s="8"/>
      <c r="F5" s="8"/>
      <c r="G5" s="8"/>
      <c r="H5" s="8"/>
      <c r="I5" s="8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2:23" ht="21" thickTop="1" x14ac:dyDescent="0.25">
      <c r="B6" s="12"/>
      <c r="C6" s="13"/>
      <c r="D6" s="13"/>
      <c r="E6" s="13"/>
      <c r="F6" s="13"/>
      <c r="G6" s="13"/>
      <c r="H6" s="13"/>
      <c r="I6" s="13"/>
      <c r="J6" s="14"/>
      <c r="K6" s="14"/>
      <c r="L6" s="15"/>
      <c r="M6" s="15"/>
      <c r="N6" s="15"/>
      <c r="O6" s="15"/>
      <c r="P6" s="15"/>
      <c r="Q6" s="15"/>
      <c r="R6" s="15"/>
      <c r="S6" s="15"/>
      <c r="T6" s="15"/>
      <c r="U6" s="14"/>
      <c r="V6" s="14"/>
      <c r="W6" s="16"/>
    </row>
    <row r="7" spans="2:23" ht="25" thickBot="1" x14ac:dyDescent="0.35">
      <c r="B7" s="17"/>
      <c r="C7" s="18" t="s">
        <v>31</v>
      </c>
      <c r="D7" s="160"/>
      <c r="E7" s="160"/>
      <c r="F7" s="160"/>
      <c r="G7" s="160"/>
      <c r="H7" s="160"/>
      <c r="I7" s="160"/>
      <c r="K7" s="157" t="s">
        <v>50</v>
      </c>
      <c r="L7" s="157"/>
      <c r="M7" s="157"/>
      <c r="N7" s="157"/>
      <c r="O7" s="195">
        <v>45697</v>
      </c>
      <c r="P7" s="195"/>
      <c r="Q7" s="195"/>
      <c r="R7" s="195"/>
      <c r="S7" s="195"/>
      <c r="T7" s="195"/>
      <c r="U7" s="152"/>
      <c r="V7" s="53"/>
      <c r="W7" s="19"/>
    </row>
    <row r="8" spans="2:23" ht="21" thickBot="1" x14ac:dyDescent="0.3">
      <c r="B8" s="17"/>
      <c r="C8" s="18" t="s">
        <v>33</v>
      </c>
      <c r="D8" s="160"/>
      <c r="E8" s="160"/>
      <c r="F8" s="160"/>
      <c r="G8" s="160"/>
      <c r="H8" s="160"/>
      <c r="I8" s="160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52"/>
      <c r="V8" s="8"/>
      <c r="W8" s="19"/>
    </row>
    <row r="9" spans="2:23" ht="21" thickBot="1" x14ac:dyDescent="0.3">
      <c r="B9" s="17"/>
      <c r="C9" s="18" t="s">
        <v>34</v>
      </c>
      <c r="D9" s="160"/>
      <c r="E9" s="160"/>
      <c r="F9" s="160"/>
      <c r="G9" s="160"/>
      <c r="H9" s="160"/>
      <c r="I9" s="160"/>
      <c r="K9" s="197" t="s">
        <v>51</v>
      </c>
      <c r="L9" s="197"/>
      <c r="M9" s="197"/>
      <c r="N9" s="197"/>
      <c r="O9" s="197"/>
      <c r="P9" s="198"/>
      <c r="Q9" s="198"/>
      <c r="R9" s="198"/>
      <c r="S9" s="198"/>
      <c r="T9" s="198"/>
      <c r="W9" s="19"/>
    </row>
    <row r="10" spans="2:23" x14ac:dyDescent="0.25">
      <c r="B10" s="17"/>
      <c r="C10" s="9"/>
      <c r="D10" s="20"/>
      <c r="E10" s="20"/>
      <c r="F10" s="20"/>
      <c r="G10" s="20"/>
      <c r="H10" s="20"/>
      <c r="I10" s="20"/>
      <c r="K10" s="18"/>
      <c r="L10" s="18"/>
      <c r="M10" s="18"/>
      <c r="N10" s="18"/>
      <c r="O10" s="18"/>
      <c r="P10" s="21"/>
      <c r="Q10" s="21"/>
      <c r="R10" s="9"/>
      <c r="S10" s="9"/>
      <c r="T10" s="9"/>
      <c r="W10" s="19"/>
    </row>
    <row r="11" spans="2:23" ht="22" thickBot="1" x14ac:dyDescent="0.3">
      <c r="B11" s="17"/>
      <c r="C11" s="22" t="s">
        <v>35</v>
      </c>
      <c r="D11" s="22"/>
      <c r="E11" s="23">
        <v>45285</v>
      </c>
      <c r="F11" s="23">
        <f>E11+1</f>
        <v>45286</v>
      </c>
      <c r="G11" s="23">
        <f t="shared" ref="G11:K11" si="0">F11+1</f>
        <v>45287</v>
      </c>
      <c r="H11" s="23">
        <f t="shared" si="0"/>
        <v>45288</v>
      </c>
      <c r="I11" s="23">
        <f t="shared" si="0"/>
        <v>45289</v>
      </c>
      <c r="J11" s="23">
        <f t="shared" si="0"/>
        <v>45290</v>
      </c>
      <c r="K11" s="23">
        <f t="shared" si="0"/>
        <v>45291</v>
      </c>
      <c r="L11" s="23"/>
      <c r="M11" s="23"/>
      <c r="N11" s="23"/>
      <c r="O11" s="23"/>
      <c r="P11" s="23"/>
      <c r="Q11" s="23"/>
      <c r="R11" s="23"/>
      <c r="S11" s="23"/>
      <c r="T11" s="23"/>
      <c r="U11" s="11"/>
      <c r="V11" s="24" t="s">
        <v>36</v>
      </c>
      <c r="W11" s="19"/>
    </row>
    <row r="12" spans="2:23" x14ac:dyDescent="0.25">
      <c r="B12" s="17"/>
      <c r="C12" s="199"/>
      <c r="D12" s="200"/>
      <c r="E12" s="25"/>
      <c r="F12" s="26"/>
      <c r="G12" s="26"/>
      <c r="H12" s="26"/>
      <c r="I12" s="26"/>
      <c r="J12" s="63"/>
      <c r="K12" s="63"/>
      <c r="L12" s="64"/>
      <c r="M12" s="64"/>
      <c r="N12" s="64"/>
      <c r="O12" s="64"/>
      <c r="P12" s="64"/>
      <c r="Q12" s="64"/>
      <c r="R12" s="64"/>
      <c r="S12" s="64"/>
      <c r="T12" s="64"/>
      <c r="V12" s="27">
        <f>SUM(E12:K12)</f>
        <v>0</v>
      </c>
      <c r="W12" s="28"/>
    </row>
    <row r="13" spans="2:23" x14ac:dyDescent="0.25">
      <c r="B13" s="17"/>
      <c r="C13" s="191"/>
      <c r="D13" s="192"/>
      <c r="E13" s="29"/>
      <c r="F13" s="30"/>
      <c r="G13" s="30"/>
      <c r="H13" s="30"/>
      <c r="I13" s="30"/>
      <c r="J13" s="65"/>
      <c r="K13" s="65"/>
      <c r="L13" s="64"/>
      <c r="M13" s="64"/>
      <c r="N13" s="64"/>
      <c r="O13" s="64"/>
      <c r="P13" s="64"/>
      <c r="Q13" s="64"/>
      <c r="R13" s="64"/>
      <c r="S13" s="64"/>
      <c r="T13" s="64"/>
      <c r="V13" s="31">
        <f>SUM(E13:K13)</f>
        <v>0</v>
      </c>
      <c r="W13" s="28"/>
    </row>
    <row r="14" spans="2:23" x14ac:dyDescent="0.25">
      <c r="B14" s="17"/>
      <c r="C14" s="191"/>
      <c r="D14" s="192"/>
      <c r="E14" s="29"/>
      <c r="F14" s="30"/>
      <c r="G14" s="30"/>
      <c r="H14" s="30"/>
      <c r="I14" s="30"/>
      <c r="J14" s="65"/>
      <c r="K14" s="65"/>
      <c r="L14" s="64"/>
      <c r="M14" s="64"/>
      <c r="N14" s="64"/>
      <c r="O14" s="64"/>
      <c r="P14" s="64"/>
      <c r="Q14" s="64"/>
      <c r="R14" s="64"/>
      <c r="S14" s="64"/>
      <c r="T14" s="64"/>
      <c r="U14" s="11"/>
      <c r="V14" s="31">
        <f>SUM(E14:K14)</f>
        <v>0</v>
      </c>
      <c r="W14" s="28"/>
    </row>
    <row r="15" spans="2:23" x14ac:dyDescent="0.25">
      <c r="B15" s="17"/>
      <c r="C15" s="191"/>
      <c r="D15" s="192"/>
      <c r="E15" s="29"/>
      <c r="F15" s="30"/>
      <c r="G15" s="30"/>
      <c r="H15" s="30"/>
      <c r="I15" s="30"/>
      <c r="J15" s="65"/>
      <c r="K15" s="65"/>
      <c r="L15" s="64"/>
      <c r="M15" s="64"/>
      <c r="N15" s="64"/>
      <c r="O15" s="64"/>
      <c r="P15" s="64"/>
      <c r="Q15" s="64"/>
      <c r="R15" s="64"/>
      <c r="S15" s="64"/>
      <c r="T15" s="64"/>
      <c r="V15" s="31">
        <f>SUM(E15:K15)</f>
        <v>0</v>
      </c>
      <c r="W15" s="28"/>
    </row>
    <row r="16" spans="2:23" ht="21" thickBot="1" x14ac:dyDescent="0.3">
      <c r="B16" s="17"/>
      <c r="C16" s="201"/>
      <c r="D16" s="202"/>
      <c r="E16" s="32"/>
      <c r="F16" s="33"/>
      <c r="G16" s="33"/>
      <c r="H16" s="33"/>
      <c r="I16" s="33"/>
      <c r="J16" s="66"/>
      <c r="K16" s="66"/>
      <c r="L16" s="64"/>
      <c r="M16" s="64"/>
      <c r="N16" s="64"/>
      <c r="O16" s="64"/>
      <c r="P16" s="64"/>
      <c r="Q16" s="64"/>
      <c r="R16" s="64"/>
      <c r="S16" s="64"/>
      <c r="T16" s="64"/>
      <c r="V16" s="34">
        <f>SUM(E16:K16)</f>
        <v>0</v>
      </c>
      <c r="W16" s="28"/>
    </row>
    <row r="17" spans="2:23" ht="22" thickTop="1" thickBot="1" x14ac:dyDescent="0.3">
      <c r="B17" s="17"/>
      <c r="C17" s="203" t="s">
        <v>37</v>
      </c>
      <c r="D17" s="204"/>
      <c r="E17" s="35">
        <f t="shared" ref="E17:K17" si="1">SUM(E12:E16)</f>
        <v>0</v>
      </c>
      <c r="F17" s="35">
        <f t="shared" si="1"/>
        <v>0</v>
      </c>
      <c r="G17" s="35">
        <f t="shared" si="1"/>
        <v>0</v>
      </c>
      <c r="H17" s="35">
        <f t="shared" si="1"/>
        <v>0</v>
      </c>
      <c r="I17" s="35">
        <f t="shared" si="1"/>
        <v>0</v>
      </c>
      <c r="J17" s="67">
        <f t="shared" si="1"/>
        <v>0</v>
      </c>
      <c r="K17" s="67">
        <f t="shared" si="1"/>
        <v>0</v>
      </c>
      <c r="L17" s="68"/>
      <c r="M17" s="68"/>
      <c r="N17" s="68"/>
      <c r="O17" s="68"/>
      <c r="P17" s="68"/>
      <c r="Q17" s="68"/>
      <c r="R17" s="68"/>
      <c r="S17" s="68"/>
      <c r="T17" s="68"/>
      <c r="U17" s="9"/>
      <c r="V17" s="37">
        <f>SUM(V12:V16)</f>
        <v>0</v>
      </c>
      <c r="W17" s="38"/>
    </row>
    <row r="18" spans="2:23" x14ac:dyDescent="0.25">
      <c r="B18" s="1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W18" s="19"/>
    </row>
    <row r="19" spans="2:23" x14ac:dyDescent="0.25">
      <c r="B19" s="17"/>
      <c r="C19" s="22"/>
      <c r="D19" s="22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8"/>
      <c r="V19" s="24"/>
      <c r="W19" s="19"/>
    </row>
    <row r="20" spans="2:23" x14ac:dyDescent="0.25">
      <c r="B20" s="17"/>
      <c r="C20" s="9"/>
      <c r="D20" s="9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39"/>
    </row>
    <row r="21" spans="2:23" ht="27" thickBot="1" x14ac:dyDescent="0.3">
      <c r="B21" s="17"/>
      <c r="C21" s="205" t="s">
        <v>38</v>
      </c>
      <c r="D21" s="206"/>
      <c r="E21" s="206"/>
      <c r="F21" s="206"/>
      <c r="G21" s="206"/>
      <c r="H21" s="206"/>
      <c r="I21" s="206"/>
      <c r="J21" s="207"/>
      <c r="K21" s="21"/>
      <c r="L21" s="21"/>
      <c r="M21" s="21"/>
      <c r="N21" s="21"/>
      <c r="O21" s="21"/>
      <c r="P21" s="21"/>
      <c r="V21" s="40"/>
      <c r="W21" s="39"/>
    </row>
    <row r="22" spans="2:23" ht="22" thickTop="1" thickBot="1" x14ac:dyDescent="0.3">
      <c r="B22" s="17"/>
      <c r="C22" s="41" t="s">
        <v>39</v>
      </c>
      <c r="D22" s="160"/>
      <c r="E22" s="160"/>
      <c r="F22" s="160"/>
      <c r="G22" s="160"/>
      <c r="H22" s="160"/>
      <c r="I22" s="160"/>
      <c r="J22" s="178"/>
      <c r="K22" s="21"/>
      <c r="L22" s="157" t="s">
        <v>40</v>
      </c>
      <c r="M22" s="157"/>
      <c r="N22" s="157"/>
      <c r="O22" s="157"/>
      <c r="Q22" s="158" t="s">
        <v>52</v>
      </c>
      <c r="R22" s="159"/>
      <c r="S22" s="159"/>
      <c r="T22" s="159"/>
      <c r="U22" s="159"/>
      <c r="V22" s="37">
        <f>V17</f>
        <v>0</v>
      </c>
      <c r="W22" s="39"/>
    </row>
    <row r="23" spans="2:23" x14ac:dyDescent="0.25">
      <c r="B23" s="17"/>
      <c r="C23" s="41"/>
      <c r="D23" s="20"/>
      <c r="E23" s="20"/>
      <c r="F23" s="20"/>
      <c r="G23" s="20"/>
      <c r="H23" s="20"/>
      <c r="I23" s="20"/>
      <c r="J23" s="42"/>
      <c r="K23" s="21"/>
      <c r="L23" s="18"/>
      <c r="M23" s="21"/>
      <c r="N23" s="21"/>
      <c r="O23" s="21"/>
      <c r="Q23" s="43"/>
      <c r="R23" s="43"/>
      <c r="S23" s="43"/>
      <c r="T23" s="43"/>
      <c r="U23" s="43"/>
      <c r="V23" s="9"/>
      <c r="W23" s="39"/>
    </row>
    <row r="24" spans="2:23" ht="21" thickBot="1" x14ac:dyDescent="0.3">
      <c r="B24" s="17"/>
      <c r="C24" s="41" t="s">
        <v>42</v>
      </c>
      <c r="D24" s="160"/>
      <c r="E24" s="160"/>
      <c r="F24" s="160"/>
      <c r="G24" s="160"/>
      <c r="H24" s="160"/>
      <c r="I24" s="160"/>
      <c r="J24" s="178"/>
      <c r="K24" s="21"/>
      <c r="L24" s="170"/>
      <c r="M24" s="171"/>
      <c r="N24" s="171"/>
      <c r="O24" s="171"/>
      <c r="P24" s="171"/>
      <c r="Q24" s="171"/>
      <c r="R24" s="171"/>
      <c r="S24" s="171"/>
      <c r="T24" s="171"/>
      <c r="U24" s="171"/>
      <c r="V24" s="172"/>
      <c r="W24" s="39"/>
    </row>
    <row r="25" spans="2:23" x14ac:dyDescent="0.25">
      <c r="B25" s="17"/>
      <c r="C25" s="41"/>
      <c r="D25" s="20"/>
      <c r="E25" s="20"/>
      <c r="F25" s="20"/>
      <c r="G25" s="20"/>
      <c r="H25" s="20"/>
      <c r="I25" s="20"/>
      <c r="J25" s="42"/>
      <c r="K25" s="21"/>
      <c r="L25" s="173"/>
      <c r="M25" s="174"/>
      <c r="N25" s="174"/>
      <c r="O25" s="174"/>
      <c r="P25" s="174"/>
      <c r="Q25" s="174"/>
      <c r="R25" s="174"/>
      <c r="S25" s="174"/>
      <c r="T25" s="174"/>
      <c r="U25" s="174"/>
      <c r="V25" s="175"/>
      <c r="W25" s="39"/>
    </row>
    <row r="26" spans="2:23" ht="21" thickBot="1" x14ac:dyDescent="0.3">
      <c r="B26" s="17"/>
      <c r="C26" s="41" t="s">
        <v>43</v>
      </c>
      <c r="D26" s="160"/>
      <c r="E26" s="160"/>
      <c r="F26" s="160"/>
      <c r="G26" s="160"/>
      <c r="H26" s="160"/>
      <c r="I26" s="160"/>
      <c r="J26" s="178"/>
      <c r="L26" s="176"/>
      <c r="M26" s="177"/>
      <c r="N26" s="177"/>
      <c r="O26" s="177"/>
      <c r="P26" s="177"/>
      <c r="Q26" s="177"/>
      <c r="R26" s="177"/>
      <c r="S26" s="177"/>
      <c r="T26" s="177"/>
      <c r="U26" s="177"/>
      <c r="V26" s="211"/>
      <c r="W26" s="19"/>
    </row>
    <row r="27" spans="2:23" x14ac:dyDescent="0.25">
      <c r="B27" s="17"/>
      <c r="C27" s="41"/>
      <c r="D27" s="44"/>
      <c r="E27" s="44"/>
      <c r="F27" s="44"/>
      <c r="G27" s="44"/>
      <c r="H27" s="44"/>
      <c r="I27" s="44"/>
      <c r="J27" s="45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46"/>
      <c r="W27" s="19"/>
    </row>
    <row r="28" spans="2:23" ht="42" x14ac:dyDescent="0.25">
      <c r="B28" s="17"/>
      <c r="C28" s="179" t="s">
        <v>44</v>
      </c>
      <c r="D28" s="180"/>
      <c r="E28" s="180"/>
      <c r="F28" s="180"/>
      <c r="G28" s="180"/>
      <c r="H28" s="180"/>
      <c r="I28" s="180"/>
      <c r="J28" s="181"/>
      <c r="L28" s="212" t="s">
        <v>45</v>
      </c>
      <c r="M28" s="212"/>
      <c r="N28" s="212"/>
      <c r="O28" s="212"/>
      <c r="P28" s="47"/>
      <c r="Q28" s="48" t="s">
        <v>46</v>
      </c>
      <c r="R28" s="49"/>
      <c r="S28" s="47"/>
      <c r="T28" s="47"/>
      <c r="U28" s="47" t="s">
        <v>47</v>
      </c>
      <c r="V28" s="50" t="str">
        <f>IF(R28&gt;0, V22/R28, " ")</f>
        <v xml:space="preserve"> </v>
      </c>
      <c r="W28" s="51" t="s">
        <v>48</v>
      </c>
    </row>
    <row r="29" spans="2:23" ht="21" thickBot="1" x14ac:dyDescent="0.3">
      <c r="B29" s="208"/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10"/>
    </row>
    <row r="30" spans="2:23" ht="21" thickTop="1" x14ac:dyDescent="0.25"/>
  </sheetData>
  <mergeCells count="28">
    <mergeCell ref="B29:W29"/>
    <mergeCell ref="Q22:U22"/>
    <mergeCell ref="D24:J24"/>
    <mergeCell ref="L24:V26"/>
    <mergeCell ref="D26:J26"/>
    <mergeCell ref="C28:J28"/>
    <mergeCell ref="L28:O28"/>
    <mergeCell ref="L22:O22"/>
    <mergeCell ref="C15:D15"/>
    <mergeCell ref="C16:D16"/>
    <mergeCell ref="C17:D17"/>
    <mergeCell ref="C21:J21"/>
    <mergeCell ref="D22:J22"/>
    <mergeCell ref="C14:D14"/>
    <mergeCell ref="N2:W2"/>
    <mergeCell ref="N3:W3"/>
    <mergeCell ref="N4:W4"/>
    <mergeCell ref="D7:I7"/>
    <mergeCell ref="K7:N7"/>
    <mergeCell ref="O7:T7"/>
    <mergeCell ref="U7:U8"/>
    <mergeCell ref="D8:I8"/>
    <mergeCell ref="K8:T8"/>
    <mergeCell ref="D9:I9"/>
    <mergeCell ref="K9:O9"/>
    <mergeCell ref="P9:T9"/>
    <mergeCell ref="C12:D12"/>
    <mergeCell ref="C13:D13"/>
  </mergeCells>
  <conditionalFormatting sqref="E12:T17">
    <cfRule type="expression" dxfId="24" priority="1">
      <formula>LEFT(RIGHT($O$7,10),2)="16"</formula>
    </cfRule>
  </conditionalFormatting>
  <dataValidations count="1">
    <dataValidation type="whole" allowBlank="1" showInputMessage="1" showErrorMessage="1" errorTitle="Error" error="This is not a S.i contract number.  Please try again or leave blank." promptTitle="S.i. Contract Number" prompt="Please enter your 5 or 6 digit S.i. Systems contract number." sqref="D9:I9" xr:uid="{8CC33813-398E-4302-9DD6-2EABD2CCA86A}">
      <formula1>20000</formula1>
      <formula2>999999</formula2>
    </dataValidation>
  </dataValidation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AA964A-BD78-46D9-A633-A8912CC566FB}">
          <x14:formula1>
            <xm:f>'Month drop down'!$B:$B</xm:f>
          </x14:formula1>
          <xm:sqref>O7:T7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38"/>
  <sheetViews>
    <sheetView zoomScale="85" zoomScaleNormal="85" workbookViewId="0">
      <selection activeCell="B12" sqref="B12"/>
    </sheetView>
  </sheetViews>
  <sheetFormatPr baseColWidth="10" defaultColWidth="0" defaultRowHeight="20" x14ac:dyDescent="0.25"/>
  <cols>
    <col min="1" max="1" width="9.1640625" style="7" customWidth="1"/>
    <col min="2" max="2" width="100.83203125" style="7" customWidth="1"/>
    <col min="3" max="3" width="9.1640625" style="7" customWidth="1"/>
    <col min="4" max="16384" width="9.1640625" style="7" hidden="1"/>
  </cols>
  <sheetData>
    <row r="1" spans="1:11" ht="15" customHeight="1" x14ac:dyDescent="0.25">
      <c r="A1" s="54"/>
      <c r="B1" s="61" t="s">
        <v>29</v>
      </c>
    </row>
    <row r="2" spans="1:11" ht="15" customHeight="1" x14ac:dyDescent="0.25">
      <c r="B2" s="59" t="s">
        <v>30</v>
      </c>
      <c r="C2" s="58"/>
      <c r="D2" s="58"/>
      <c r="E2" s="58"/>
      <c r="F2" s="58"/>
      <c r="G2" s="58"/>
      <c r="H2" s="58"/>
      <c r="I2" s="58"/>
      <c r="J2" s="58"/>
      <c r="K2" s="58"/>
    </row>
    <row r="3" spans="1:11" ht="15" customHeight="1" x14ac:dyDescent="0.25">
      <c r="B3" s="60"/>
      <c r="C3" s="60"/>
      <c r="D3" s="60"/>
      <c r="E3" s="60"/>
      <c r="F3" s="60"/>
      <c r="G3" s="60"/>
      <c r="H3" s="60"/>
      <c r="I3" s="60"/>
      <c r="J3" s="60"/>
      <c r="K3" s="60"/>
    </row>
    <row r="4" spans="1:11" ht="15" customHeight="1" x14ac:dyDescent="0.25">
      <c r="B4" s="11"/>
    </row>
    <row r="5" spans="1:11" ht="15" customHeight="1" x14ac:dyDescent="0.25">
      <c r="A5" s="213" t="s">
        <v>53</v>
      </c>
      <c r="B5" s="40"/>
    </row>
    <row r="6" spans="1:11" ht="36.75" customHeight="1" x14ac:dyDescent="0.25">
      <c r="A6" s="214"/>
      <c r="B6" s="24" t="str">
        <f>IF(Monthly!$V$25=0,TEXT(VLOOKUP('Semi-monthly'!$O$7,'Month drop down'!$B:$C,2,FALSE),"mmm-yy")&amp;" Daily Details",TEXT(Monthly!$O$7,"mmm-yy")&amp;" Daily Details")</f>
        <v>Oct-25 Daily Details</v>
      </c>
    </row>
    <row r="7" spans="1:11" ht="25" customHeight="1" x14ac:dyDescent="0.25">
      <c r="A7" s="55">
        <v>1</v>
      </c>
      <c r="B7" s="56"/>
    </row>
    <row r="8" spans="1:11" ht="25" customHeight="1" x14ac:dyDescent="0.25">
      <c r="A8" s="55">
        <v>2</v>
      </c>
      <c r="B8" s="56"/>
    </row>
    <row r="9" spans="1:11" ht="25" customHeight="1" x14ac:dyDescent="0.25">
      <c r="A9" s="55">
        <v>3</v>
      </c>
      <c r="B9" s="56"/>
    </row>
    <row r="10" spans="1:11" ht="25" customHeight="1" x14ac:dyDescent="0.25">
      <c r="A10" s="55">
        <v>4</v>
      </c>
      <c r="B10" s="56"/>
    </row>
    <row r="11" spans="1:11" ht="25" customHeight="1" x14ac:dyDescent="0.25">
      <c r="A11" s="55">
        <v>5</v>
      </c>
      <c r="B11" s="56"/>
    </row>
    <row r="12" spans="1:11" ht="25" customHeight="1" x14ac:dyDescent="0.25">
      <c r="A12" s="55">
        <v>6</v>
      </c>
      <c r="B12" s="56"/>
    </row>
    <row r="13" spans="1:11" ht="25" customHeight="1" x14ac:dyDescent="0.25">
      <c r="A13" s="55">
        <v>7</v>
      </c>
      <c r="B13" s="56"/>
    </row>
    <row r="14" spans="1:11" ht="25" customHeight="1" x14ac:dyDescent="0.25">
      <c r="A14" s="55">
        <v>8</v>
      </c>
      <c r="B14" s="56"/>
    </row>
    <row r="15" spans="1:11" ht="25" customHeight="1" x14ac:dyDescent="0.25">
      <c r="A15" s="55">
        <v>9</v>
      </c>
      <c r="B15" s="56"/>
    </row>
    <row r="16" spans="1:11" ht="25" customHeight="1" x14ac:dyDescent="0.25">
      <c r="A16" s="55">
        <v>10</v>
      </c>
      <c r="B16" s="56"/>
    </row>
    <row r="17" spans="1:2" ht="25" customHeight="1" x14ac:dyDescent="0.25">
      <c r="A17" s="55">
        <v>11</v>
      </c>
      <c r="B17" s="56"/>
    </row>
    <row r="18" spans="1:2" ht="25" customHeight="1" x14ac:dyDescent="0.25">
      <c r="A18" s="55">
        <v>12</v>
      </c>
      <c r="B18" s="56"/>
    </row>
    <row r="19" spans="1:2" ht="25" customHeight="1" x14ac:dyDescent="0.25">
      <c r="A19" s="55">
        <v>13</v>
      </c>
      <c r="B19" s="56"/>
    </row>
    <row r="20" spans="1:2" ht="25" customHeight="1" x14ac:dyDescent="0.25">
      <c r="A20" s="55">
        <v>14</v>
      </c>
      <c r="B20" s="56"/>
    </row>
    <row r="21" spans="1:2" ht="25" customHeight="1" x14ac:dyDescent="0.25">
      <c r="A21" s="55">
        <v>15</v>
      </c>
      <c r="B21" s="56"/>
    </row>
    <row r="22" spans="1:2" ht="25" customHeight="1" x14ac:dyDescent="0.25">
      <c r="A22" s="55">
        <v>16</v>
      </c>
      <c r="B22" s="56"/>
    </row>
    <row r="23" spans="1:2" ht="25" customHeight="1" x14ac:dyDescent="0.25">
      <c r="A23" s="55">
        <v>17</v>
      </c>
      <c r="B23" s="56"/>
    </row>
    <row r="24" spans="1:2" ht="25" customHeight="1" x14ac:dyDescent="0.25">
      <c r="A24" s="55">
        <v>18</v>
      </c>
      <c r="B24" s="56"/>
    </row>
    <row r="25" spans="1:2" ht="25" customHeight="1" x14ac:dyDescent="0.25">
      <c r="A25" s="55">
        <v>19</v>
      </c>
      <c r="B25" s="56"/>
    </row>
    <row r="26" spans="1:2" ht="25" customHeight="1" x14ac:dyDescent="0.25">
      <c r="A26" s="55">
        <v>20</v>
      </c>
      <c r="B26" s="56"/>
    </row>
    <row r="27" spans="1:2" ht="25" customHeight="1" x14ac:dyDescent="0.25">
      <c r="A27" s="55">
        <v>21</v>
      </c>
      <c r="B27" s="56"/>
    </row>
    <row r="28" spans="1:2" ht="25" customHeight="1" x14ac:dyDescent="0.25">
      <c r="A28" s="55">
        <v>22</v>
      </c>
      <c r="B28" s="56"/>
    </row>
    <row r="29" spans="1:2" ht="25" customHeight="1" x14ac:dyDescent="0.25">
      <c r="A29" s="55">
        <v>23</v>
      </c>
      <c r="B29" s="56"/>
    </row>
    <row r="30" spans="1:2" ht="25" customHeight="1" x14ac:dyDescent="0.25">
      <c r="A30" s="55">
        <v>24</v>
      </c>
      <c r="B30" s="56"/>
    </row>
    <row r="31" spans="1:2" ht="25" customHeight="1" x14ac:dyDescent="0.25">
      <c r="A31" s="55">
        <v>25</v>
      </c>
      <c r="B31" s="56"/>
    </row>
    <row r="32" spans="1:2" ht="25" customHeight="1" x14ac:dyDescent="0.25">
      <c r="A32" s="55">
        <v>26</v>
      </c>
      <c r="B32" s="56"/>
    </row>
    <row r="33" spans="1:2" ht="25" customHeight="1" x14ac:dyDescent="0.25">
      <c r="A33" s="55">
        <v>27</v>
      </c>
      <c r="B33" s="56"/>
    </row>
    <row r="34" spans="1:2" ht="25" customHeight="1" x14ac:dyDescent="0.25">
      <c r="A34" s="55">
        <v>28</v>
      </c>
      <c r="B34" s="56"/>
    </row>
    <row r="35" spans="1:2" ht="25" customHeight="1" x14ac:dyDescent="0.25">
      <c r="A35" s="55">
        <v>29</v>
      </c>
      <c r="B35" s="56"/>
    </row>
    <row r="36" spans="1:2" ht="25" customHeight="1" x14ac:dyDescent="0.25">
      <c r="A36" s="55">
        <v>30</v>
      </c>
      <c r="B36" s="56"/>
    </row>
    <row r="37" spans="1:2" ht="25" customHeight="1" x14ac:dyDescent="0.25">
      <c r="A37" s="55">
        <v>31</v>
      </c>
      <c r="B37" s="56"/>
    </row>
    <row r="38" spans="1:2" x14ac:dyDescent="0.25">
      <c r="A38" s="8"/>
      <c r="B38" s="57"/>
    </row>
  </sheetData>
  <sheetProtection selectLockedCells="1"/>
  <mergeCells count="1">
    <mergeCell ref="A5:A6"/>
  </mergeCells>
  <phoneticPr fontId="1" type="noConversion"/>
  <printOptions horizontalCentered="1"/>
  <pageMargins left="0" right="0" top="0" bottom="0" header="0" footer="0"/>
  <pageSetup scale="71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D287-0B55-4BF0-9CBC-87BE6369A6DD}">
  <dimension ref="B3:B98"/>
  <sheetViews>
    <sheetView workbookViewId="0">
      <selection activeCell="F95" sqref="F95:F96"/>
    </sheetView>
  </sheetViews>
  <sheetFormatPr baseColWidth="10" defaultColWidth="8.83203125" defaultRowHeight="13" x14ac:dyDescent="0.15"/>
  <sheetData>
    <row r="3" spans="2:2" x14ac:dyDescent="0.15">
      <c r="B3" s="126">
        <v>0</v>
      </c>
    </row>
    <row r="4" spans="2:2" x14ac:dyDescent="0.15">
      <c r="B4" s="126">
        <v>1.0416666666666666E-2</v>
      </c>
    </row>
    <row r="5" spans="2:2" x14ac:dyDescent="0.15">
      <c r="B5" s="126">
        <v>2.0833333333333332E-2</v>
      </c>
    </row>
    <row r="6" spans="2:2" x14ac:dyDescent="0.15">
      <c r="B6" s="126">
        <v>3.125E-2</v>
      </c>
    </row>
    <row r="7" spans="2:2" x14ac:dyDescent="0.15">
      <c r="B7" s="126">
        <v>4.1666666666666664E-2</v>
      </c>
    </row>
    <row r="8" spans="2:2" x14ac:dyDescent="0.15">
      <c r="B8" s="126">
        <v>5.2083333333333336E-2</v>
      </c>
    </row>
    <row r="9" spans="2:2" x14ac:dyDescent="0.15">
      <c r="B9" s="126">
        <v>6.25E-2</v>
      </c>
    </row>
    <row r="10" spans="2:2" x14ac:dyDescent="0.15">
      <c r="B10" s="126">
        <v>7.2916666666666671E-2</v>
      </c>
    </row>
    <row r="11" spans="2:2" x14ac:dyDescent="0.15">
      <c r="B11" s="126">
        <v>8.3333333333333329E-2</v>
      </c>
    </row>
    <row r="12" spans="2:2" x14ac:dyDescent="0.15">
      <c r="B12" s="126">
        <v>9.375E-2</v>
      </c>
    </row>
    <row r="13" spans="2:2" x14ac:dyDescent="0.15">
      <c r="B13" s="126">
        <v>0.10416666666666667</v>
      </c>
    </row>
    <row r="14" spans="2:2" x14ac:dyDescent="0.15">
      <c r="B14" s="126">
        <v>0.11458333333333333</v>
      </c>
    </row>
    <row r="15" spans="2:2" x14ac:dyDescent="0.15">
      <c r="B15" s="126">
        <v>0.125</v>
      </c>
    </row>
    <row r="16" spans="2:2" x14ac:dyDescent="0.15">
      <c r="B16" s="126">
        <v>0.13541666666666666</v>
      </c>
    </row>
    <row r="17" spans="2:2" x14ac:dyDescent="0.15">
      <c r="B17" s="126">
        <v>0.14583333333333334</v>
      </c>
    </row>
    <row r="18" spans="2:2" x14ac:dyDescent="0.15">
      <c r="B18" s="126">
        <v>0.15625</v>
      </c>
    </row>
    <row r="19" spans="2:2" x14ac:dyDescent="0.15">
      <c r="B19" s="126">
        <v>0.16666666666666666</v>
      </c>
    </row>
    <row r="20" spans="2:2" x14ac:dyDescent="0.15">
      <c r="B20" s="126">
        <v>0.17708333333333334</v>
      </c>
    </row>
    <row r="21" spans="2:2" x14ac:dyDescent="0.15">
      <c r="B21" s="126">
        <v>0.1875</v>
      </c>
    </row>
    <row r="22" spans="2:2" x14ac:dyDescent="0.15">
      <c r="B22" s="126">
        <v>0.19791666666666666</v>
      </c>
    </row>
    <row r="23" spans="2:2" x14ac:dyDescent="0.15">
      <c r="B23" s="126">
        <v>0.20833333333333334</v>
      </c>
    </row>
    <row r="24" spans="2:2" x14ac:dyDescent="0.15">
      <c r="B24" s="126">
        <v>0.21875</v>
      </c>
    </row>
    <row r="25" spans="2:2" x14ac:dyDescent="0.15">
      <c r="B25" s="126">
        <v>0.22916666666666666</v>
      </c>
    </row>
    <row r="26" spans="2:2" x14ac:dyDescent="0.15">
      <c r="B26" s="126">
        <v>0.23958333333333334</v>
      </c>
    </row>
    <row r="27" spans="2:2" x14ac:dyDescent="0.15">
      <c r="B27" s="126">
        <v>0.25</v>
      </c>
    </row>
    <row r="28" spans="2:2" x14ac:dyDescent="0.15">
      <c r="B28" s="126">
        <v>0.26041666666666669</v>
      </c>
    </row>
    <row r="29" spans="2:2" x14ac:dyDescent="0.15">
      <c r="B29" s="126">
        <v>0.27083333333333331</v>
      </c>
    </row>
    <row r="30" spans="2:2" x14ac:dyDescent="0.15">
      <c r="B30" s="126">
        <v>0.28125</v>
      </c>
    </row>
    <row r="31" spans="2:2" x14ac:dyDescent="0.15">
      <c r="B31" s="126">
        <v>0.29166666666666669</v>
      </c>
    </row>
    <row r="32" spans="2:2" x14ac:dyDescent="0.15">
      <c r="B32" s="126">
        <v>0.30208333333333331</v>
      </c>
    </row>
    <row r="33" spans="2:2" x14ac:dyDescent="0.15">
      <c r="B33" s="126">
        <v>0.3125</v>
      </c>
    </row>
    <row r="34" spans="2:2" x14ac:dyDescent="0.15">
      <c r="B34" s="126">
        <v>0.32291666666666669</v>
      </c>
    </row>
    <row r="35" spans="2:2" x14ac:dyDescent="0.15">
      <c r="B35" s="126">
        <v>0.33333333333333331</v>
      </c>
    </row>
    <row r="36" spans="2:2" x14ac:dyDescent="0.15">
      <c r="B36" s="126">
        <v>0.34375</v>
      </c>
    </row>
    <row r="37" spans="2:2" x14ac:dyDescent="0.15">
      <c r="B37" s="126">
        <v>0.35416666666666669</v>
      </c>
    </row>
    <row r="38" spans="2:2" x14ac:dyDescent="0.15">
      <c r="B38" s="126">
        <v>0.36458333333333331</v>
      </c>
    </row>
    <row r="39" spans="2:2" x14ac:dyDescent="0.15">
      <c r="B39" s="126">
        <v>0.375</v>
      </c>
    </row>
    <row r="40" spans="2:2" x14ac:dyDescent="0.15">
      <c r="B40" s="126">
        <v>0.38541666666666669</v>
      </c>
    </row>
    <row r="41" spans="2:2" x14ac:dyDescent="0.15">
      <c r="B41" s="126">
        <v>0.39583333333333331</v>
      </c>
    </row>
    <row r="42" spans="2:2" x14ac:dyDescent="0.15">
      <c r="B42" s="126">
        <v>0.40625</v>
      </c>
    </row>
    <row r="43" spans="2:2" x14ac:dyDescent="0.15">
      <c r="B43" s="126">
        <v>0.41666666666666669</v>
      </c>
    </row>
    <row r="44" spans="2:2" x14ac:dyDescent="0.15">
      <c r="B44" s="126">
        <v>0.42708333333333331</v>
      </c>
    </row>
    <row r="45" spans="2:2" x14ac:dyDescent="0.15">
      <c r="B45" s="126">
        <v>0.4375</v>
      </c>
    </row>
    <row r="46" spans="2:2" x14ac:dyDescent="0.15">
      <c r="B46" s="126">
        <v>0.44791666666666669</v>
      </c>
    </row>
    <row r="47" spans="2:2" x14ac:dyDescent="0.15">
      <c r="B47" s="126">
        <v>0.45833333333333331</v>
      </c>
    </row>
    <row r="48" spans="2:2" x14ac:dyDescent="0.15">
      <c r="B48" s="126">
        <v>0.46875</v>
      </c>
    </row>
    <row r="49" spans="2:2" x14ac:dyDescent="0.15">
      <c r="B49" s="126">
        <v>0.47916666666666669</v>
      </c>
    </row>
    <row r="50" spans="2:2" x14ac:dyDescent="0.15">
      <c r="B50" s="126">
        <v>0.48958333333333331</v>
      </c>
    </row>
    <row r="51" spans="2:2" x14ac:dyDescent="0.15">
      <c r="B51" s="126">
        <v>0.5</v>
      </c>
    </row>
    <row r="52" spans="2:2" x14ac:dyDescent="0.15">
      <c r="B52" s="126">
        <v>0.51041666666666663</v>
      </c>
    </row>
    <row r="53" spans="2:2" x14ac:dyDescent="0.15">
      <c r="B53" s="126">
        <v>0.52083333333333337</v>
      </c>
    </row>
    <row r="54" spans="2:2" x14ac:dyDescent="0.15">
      <c r="B54" s="126">
        <v>0.53125</v>
      </c>
    </row>
    <row r="55" spans="2:2" x14ac:dyDescent="0.15">
      <c r="B55" s="126">
        <v>0.54166666666666663</v>
      </c>
    </row>
    <row r="56" spans="2:2" x14ac:dyDescent="0.15">
      <c r="B56" s="127">
        <v>0.55208333333333337</v>
      </c>
    </row>
    <row r="57" spans="2:2" x14ac:dyDescent="0.15">
      <c r="B57" s="126">
        <v>0.5625</v>
      </c>
    </row>
    <row r="58" spans="2:2" x14ac:dyDescent="0.15">
      <c r="B58" s="126">
        <v>0.57291666666666663</v>
      </c>
    </row>
    <row r="59" spans="2:2" x14ac:dyDescent="0.15">
      <c r="B59" s="126">
        <v>0.58333333333333337</v>
      </c>
    </row>
    <row r="60" spans="2:2" x14ac:dyDescent="0.15">
      <c r="B60" s="126">
        <v>0.59375</v>
      </c>
    </row>
    <row r="61" spans="2:2" x14ac:dyDescent="0.15">
      <c r="B61" s="126">
        <v>0.60416666666666663</v>
      </c>
    </row>
    <row r="62" spans="2:2" x14ac:dyDescent="0.15">
      <c r="B62" s="126">
        <v>0.61458333333333337</v>
      </c>
    </row>
    <row r="63" spans="2:2" x14ac:dyDescent="0.15">
      <c r="B63" s="126">
        <v>0.625</v>
      </c>
    </row>
    <row r="64" spans="2:2" x14ac:dyDescent="0.15">
      <c r="B64" s="126">
        <v>0.63541666666666663</v>
      </c>
    </row>
    <row r="65" spans="2:2" x14ac:dyDescent="0.15">
      <c r="B65" s="127">
        <v>0.64583333333333337</v>
      </c>
    </row>
    <row r="66" spans="2:2" x14ac:dyDescent="0.15">
      <c r="B66" s="126">
        <v>0.65625</v>
      </c>
    </row>
    <row r="67" spans="2:2" x14ac:dyDescent="0.15">
      <c r="B67" s="126">
        <v>0.66666666666666663</v>
      </c>
    </row>
    <row r="68" spans="2:2" x14ac:dyDescent="0.15">
      <c r="B68" s="126">
        <v>0.67708333333333337</v>
      </c>
    </row>
    <row r="69" spans="2:2" x14ac:dyDescent="0.15">
      <c r="B69" s="126">
        <v>0.6875</v>
      </c>
    </row>
    <row r="70" spans="2:2" x14ac:dyDescent="0.15">
      <c r="B70" s="126">
        <v>0.69791666666666663</v>
      </c>
    </row>
    <row r="71" spans="2:2" x14ac:dyDescent="0.15">
      <c r="B71" s="126">
        <v>0.70833333333333337</v>
      </c>
    </row>
    <row r="72" spans="2:2" x14ac:dyDescent="0.15">
      <c r="B72" s="126">
        <v>0.71875</v>
      </c>
    </row>
    <row r="73" spans="2:2" x14ac:dyDescent="0.15">
      <c r="B73" s="126">
        <v>0.72916666666666663</v>
      </c>
    </row>
    <row r="74" spans="2:2" x14ac:dyDescent="0.15">
      <c r="B74" s="126">
        <v>0.73958333333333337</v>
      </c>
    </row>
    <row r="75" spans="2:2" x14ac:dyDescent="0.15">
      <c r="B75" s="126">
        <v>0.75</v>
      </c>
    </row>
    <row r="76" spans="2:2" x14ac:dyDescent="0.15">
      <c r="B76" s="126">
        <v>0.76041666666666663</v>
      </c>
    </row>
    <row r="77" spans="2:2" x14ac:dyDescent="0.15">
      <c r="B77" s="126">
        <v>0.77083333333333337</v>
      </c>
    </row>
    <row r="78" spans="2:2" x14ac:dyDescent="0.15">
      <c r="B78" s="126">
        <v>0.78125</v>
      </c>
    </row>
    <row r="79" spans="2:2" x14ac:dyDescent="0.15">
      <c r="B79" s="126">
        <v>0.79166666666666663</v>
      </c>
    </row>
    <row r="80" spans="2:2" x14ac:dyDescent="0.15">
      <c r="B80" s="126">
        <v>0.80208333333333337</v>
      </c>
    </row>
    <row r="81" spans="2:2" x14ac:dyDescent="0.15">
      <c r="B81" s="126">
        <v>0.8125</v>
      </c>
    </row>
    <row r="82" spans="2:2" x14ac:dyDescent="0.15">
      <c r="B82" s="126">
        <v>0.82291666666666663</v>
      </c>
    </row>
    <row r="83" spans="2:2" x14ac:dyDescent="0.15">
      <c r="B83" s="126">
        <v>0.83333333333333337</v>
      </c>
    </row>
    <row r="84" spans="2:2" x14ac:dyDescent="0.15">
      <c r="B84" s="126">
        <v>0.84375</v>
      </c>
    </row>
    <row r="85" spans="2:2" x14ac:dyDescent="0.15">
      <c r="B85" s="126">
        <v>0.85416666666666663</v>
      </c>
    </row>
    <row r="86" spans="2:2" x14ac:dyDescent="0.15">
      <c r="B86" s="126">
        <v>0.86458333333333337</v>
      </c>
    </row>
    <row r="87" spans="2:2" x14ac:dyDescent="0.15">
      <c r="B87" s="126">
        <v>0.875</v>
      </c>
    </row>
    <row r="88" spans="2:2" x14ac:dyDescent="0.15">
      <c r="B88" s="126">
        <v>0.88541666666666663</v>
      </c>
    </row>
    <row r="89" spans="2:2" x14ac:dyDescent="0.15">
      <c r="B89" s="126">
        <v>0.89583333333333337</v>
      </c>
    </row>
    <row r="90" spans="2:2" x14ac:dyDescent="0.15">
      <c r="B90" s="126">
        <v>0.90625</v>
      </c>
    </row>
    <row r="91" spans="2:2" x14ac:dyDescent="0.15">
      <c r="B91" s="126">
        <v>0.91666666666666663</v>
      </c>
    </row>
    <row r="92" spans="2:2" x14ac:dyDescent="0.15">
      <c r="B92" s="126">
        <v>0.92708333333333337</v>
      </c>
    </row>
    <row r="93" spans="2:2" x14ac:dyDescent="0.15">
      <c r="B93" s="126">
        <v>0.9375</v>
      </c>
    </row>
    <row r="94" spans="2:2" x14ac:dyDescent="0.15">
      <c r="B94" s="126">
        <v>0.94791666666666663</v>
      </c>
    </row>
    <row r="95" spans="2:2" x14ac:dyDescent="0.15">
      <c r="B95" s="126">
        <v>0.95833333333333337</v>
      </c>
    </row>
    <row r="96" spans="2:2" x14ac:dyDescent="0.15">
      <c r="B96" s="126">
        <v>0.96875</v>
      </c>
    </row>
    <row r="97" spans="2:2" x14ac:dyDescent="0.15">
      <c r="B97" s="126">
        <v>0.97916666666666663</v>
      </c>
    </row>
    <row r="98" spans="2:2" x14ac:dyDescent="0.15">
      <c r="B98" s="126">
        <v>0.98958333333333337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6AB8B2D9B41A4E90AC96DD33597919" ma:contentTypeVersion="11" ma:contentTypeDescription="Create a new document." ma:contentTypeScope="" ma:versionID="f0c0b9cdd5c4dd12285b3b434d88ee01">
  <xsd:schema xmlns:xsd="http://www.w3.org/2001/XMLSchema" xmlns:xs="http://www.w3.org/2001/XMLSchema" xmlns:p="http://schemas.microsoft.com/office/2006/metadata/properties" xmlns:ns2="3e627b2e-878a-4726-9049-1b1dd084fa12" xmlns:ns3="e4b547fc-c19b-43e8-9228-c47d025b3ad2" targetNamespace="http://schemas.microsoft.com/office/2006/metadata/properties" ma:root="true" ma:fieldsID="787177a045a9463436c48decb4f02a09" ns2:_="" ns3:_="">
    <xsd:import namespace="3e627b2e-878a-4726-9049-1b1dd084fa12"/>
    <xsd:import namespace="e4b547fc-c19b-43e8-9228-c47d025b3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7b2e-878a-4726-9049-1b1dd084f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493640e-1044-4f4b-892b-b6cc83dfa8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547fc-c19b-43e8-9228-c47d025b3ad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3f3d467-2e8d-4340-8760-9fc57035932c}" ma:internalName="TaxCatchAll" ma:showField="CatchAllData" ma:web="43d0bdbd-574d-4d00-99ba-568bcc320b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627b2e-878a-4726-9049-1b1dd084fa12">
      <Terms xmlns="http://schemas.microsoft.com/office/infopath/2007/PartnerControls"/>
    </lcf76f155ced4ddcb4097134ff3c332f>
    <TaxCatchAll xmlns="e4b547fc-c19b-43e8-9228-c47d025b3ad2" xsi:nil="true"/>
  </documentManagement>
</p:properties>
</file>

<file path=customXml/itemProps1.xml><?xml version="1.0" encoding="utf-8"?>
<ds:datastoreItem xmlns:ds="http://schemas.openxmlformats.org/officeDocument/2006/customXml" ds:itemID="{59408D1C-3562-4BFC-88BA-925FD68EB0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627b2e-878a-4726-9049-1b1dd084fa12"/>
    <ds:schemaRef ds:uri="e4b547fc-c19b-43e8-9228-c47d025b3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943746-64B5-4B63-BDC4-AD3F3B2E76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4E940A-344C-4AD7-A13C-00435FA8F220}">
  <ds:schemaRefs>
    <ds:schemaRef ds:uri="http://www.w3.org/XML/1998/namespace"/>
    <ds:schemaRef ds:uri="http://purl.org/dc/terms/"/>
    <ds:schemaRef ds:uri="3e627b2e-878a-4726-9049-1b1dd084fa12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4b547fc-c19b-43e8-9228-c47d025b3a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Month drop down</vt:lpstr>
      <vt:lpstr>Nat Stat Hol</vt:lpstr>
      <vt:lpstr>Dates</vt:lpstr>
      <vt:lpstr>Monthly</vt:lpstr>
      <vt:lpstr>Semi-monthly</vt:lpstr>
      <vt:lpstr>Weekly</vt:lpstr>
      <vt:lpstr>Comments</vt:lpstr>
      <vt:lpstr>Time Dropdown</vt:lpstr>
      <vt:lpstr>Comments!Print_Area</vt:lpstr>
      <vt:lpstr>Monthly!Print_Area</vt:lpstr>
      <vt:lpstr>'Semi-monthly'!Print_Area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 Charles</dc:creator>
  <cp:keywords/>
  <dc:description/>
  <cp:lastModifiedBy>Robin Bajaj</cp:lastModifiedBy>
  <cp:revision/>
  <cp:lastPrinted>2024-02-01T14:55:42Z</cp:lastPrinted>
  <dcterms:created xsi:type="dcterms:W3CDTF">2007-12-14T17:58:56Z</dcterms:created>
  <dcterms:modified xsi:type="dcterms:W3CDTF">2025-11-07T21:04:34Z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0x010100D26AB8B2D9B41A4E90AC96DD33597919</vt:lpwstr>
  </property>
  <property fmtid="{D5CDD505-2E9C-101B-9397-08002B2CF9AE}" pid="3" name="MediaServiceImageTags">
    <vt:lpwstr/>
  </property>
</Properties>
</file>